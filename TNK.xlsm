
<file path=[Content_Types].xml><?xml version="1.0" encoding="utf-8"?>
<Types xmlns="http://schemas.openxmlformats.org/package/2006/content-types"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7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28.xml" ContentType="application/vnd.ms-office.activeX+xml"/>
  <Default Extension="jpeg" ContentType="image/jpeg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8.xml" ContentType="application/vnd.ms-office.activeX+xml"/>
  <Override PartName="/xl/activeX/activeX29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Analysis" sheetId="13" r:id="rId1"/>
    <sheet name="Statisitics" sheetId="12" r:id="rId2"/>
    <sheet name="Kits" sheetId="3" r:id="rId3"/>
    <sheet name="Ranks" sheetId="8" r:id="rId4"/>
    <sheet name="Calendar" sheetId="9" r:id="rId5"/>
  </sheets>
  <calcPr calcId="124519" calcMode="manual"/>
</workbook>
</file>

<file path=xl/calcChain.xml><?xml version="1.0" encoding="utf-8"?>
<calcChain xmlns="http://schemas.openxmlformats.org/spreadsheetml/2006/main">
  <c r="N24" i="13"/>
  <c r="O22" s="1"/>
  <c r="L16"/>
  <c r="L15"/>
  <c r="I30" i="12"/>
  <c r="K30"/>
  <c r="J30"/>
  <c r="K29"/>
  <c r="P21"/>
  <c r="Q5" s="1"/>
  <c r="T5" s="1"/>
  <c r="D23" i="3"/>
  <c r="D26"/>
  <c r="D38"/>
  <c r="D37"/>
  <c r="D25"/>
  <c r="D33"/>
  <c r="D28"/>
  <c r="D36"/>
  <c r="D35"/>
  <c r="D32"/>
  <c r="D24"/>
  <c r="D27"/>
  <c r="D31"/>
  <c r="D22"/>
  <c r="D19"/>
  <c r="D10"/>
  <c r="D4"/>
  <c r="D34"/>
  <c r="D3"/>
  <c r="D18"/>
  <c r="D17"/>
  <c r="D30"/>
  <c r="D29"/>
  <c r="D21"/>
  <c r="D2"/>
  <c r="D20"/>
  <c r="D16"/>
  <c r="D15"/>
  <c r="D1"/>
  <c r="D14"/>
  <c r="D9"/>
  <c r="D13"/>
  <c r="D12"/>
  <c r="D11"/>
  <c r="D8"/>
  <c r="D7"/>
  <c r="D6"/>
  <c r="D5"/>
  <c r="J29" i="12"/>
  <c r="F29"/>
  <c r="F30" s="1"/>
  <c r="G29"/>
  <c r="G30" s="1"/>
  <c r="H29"/>
  <c r="H30" s="1"/>
  <c r="I29"/>
  <c r="E29"/>
  <c r="E30" s="1"/>
  <c r="D29"/>
  <c r="C29"/>
  <c r="C30" s="1"/>
  <c r="O5" i="13" l="1"/>
  <c r="Q5" s="1"/>
  <c r="O21"/>
  <c r="O18"/>
  <c r="Q18" s="1"/>
  <c r="O14"/>
  <c r="Q14" s="1"/>
  <c r="O10"/>
  <c r="Q10" s="1"/>
  <c r="O6"/>
  <c r="O2"/>
  <c r="O19"/>
  <c r="Q19" s="1"/>
  <c r="O15"/>
  <c r="O11"/>
  <c r="O7"/>
  <c r="O3"/>
  <c r="O20"/>
  <c r="Q20" s="1"/>
  <c r="O16"/>
  <c r="Q16" s="1"/>
  <c r="O12"/>
  <c r="Q12" s="1"/>
  <c r="O8"/>
  <c r="Q8" s="1"/>
  <c r="O4"/>
  <c r="O1"/>
  <c r="O17"/>
  <c r="O13"/>
  <c r="O9"/>
  <c r="Q9" s="1"/>
  <c r="Q18" i="12"/>
  <c r="T18" s="1"/>
  <c r="Q12"/>
  <c r="T12" s="1"/>
  <c r="Q7"/>
  <c r="T7" s="1"/>
  <c r="Q15"/>
  <c r="Q9"/>
  <c r="T9" s="1"/>
  <c r="Q17"/>
  <c r="T17" s="1"/>
  <c r="Q11"/>
  <c r="T11" s="1"/>
  <c r="Q20"/>
  <c r="T20" s="1"/>
  <c r="Q1"/>
  <c r="Q14"/>
  <c r="T14" s="1"/>
  <c r="Q2"/>
  <c r="Q8"/>
  <c r="T8" s="1"/>
  <c r="Q13"/>
  <c r="Q16"/>
  <c r="T16" s="1"/>
  <c r="Q3"/>
  <c r="Q4"/>
  <c r="Q10"/>
  <c r="T10" s="1"/>
  <c r="Q6"/>
  <c r="T6" s="1"/>
  <c r="Q19"/>
  <c r="T19" s="1"/>
  <c r="D30"/>
  <c r="M27" i="13" l="1"/>
  <c r="M30"/>
  <c r="M31"/>
  <c r="M29"/>
  <c r="M26"/>
  <c r="Q2"/>
  <c r="M28"/>
  <c r="Q1"/>
  <c r="P14"/>
  <c r="M32"/>
  <c r="P9"/>
  <c r="Q6"/>
  <c r="Q4"/>
  <c r="Q15"/>
  <c r="Q17"/>
  <c r="Q7"/>
  <c r="P20"/>
  <c r="Q3"/>
  <c r="P11"/>
  <c r="Q11"/>
  <c r="Q13"/>
  <c r="O23" i="12"/>
  <c r="P23" s="1"/>
  <c r="T15"/>
  <c r="R20"/>
  <c r="S20" s="1"/>
  <c r="O29"/>
  <c r="P29" s="1"/>
  <c r="Q29" s="1"/>
  <c r="T3"/>
  <c r="O26"/>
  <c r="P26" s="1"/>
  <c r="T2"/>
  <c r="O25"/>
  <c r="P25" s="1"/>
  <c r="O28"/>
  <c r="P28" s="1"/>
  <c r="T4"/>
  <c r="O27"/>
  <c r="P27" s="1"/>
  <c r="T1"/>
  <c r="O24"/>
  <c r="P24" s="1"/>
  <c r="T13"/>
  <c r="R14"/>
  <c r="R11"/>
  <c r="R9"/>
  <c r="Q25" l="1"/>
  <c r="Q28"/>
  <c r="Q27"/>
  <c r="Q26"/>
</calcChain>
</file>

<file path=xl/sharedStrings.xml><?xml version="1.0" encoding="utf-8"?>
<sst xmlns="http://schemas.openxmlformats.org/spreadsheetml/2006/main" count="643" uniqueCount="232">
  <si>
    <t>WH</t>
  </si>
  <si>
    <t>WV</t>
  </si>
  <si>
    <t>RATR</t>
  </si>
  <si>
    <t>PIP</t>
  </si>
  <si>
    <t>PTBANB</t>
  </si>
  <si>
    <t>WA</t>
  </si>
  <si>
    <t>SOP</t>
  </si>
  <si>
    <t>WOF</t>
  </si>
  <si>
    <t>OC</t>
  </si>
  <si>
    <t>SLNO</t>
  </si>
  <si>
    <t>TSOS</t>
  </si>
  <si>
    <t>PPLG</t>
  </si>
  <si>
    <t>WHalt01</t>
  </si>
  <si>
    <t>WHalt02</t>
  </si>
  <si>
    <t>WHalt03</t>
  </si>
  <si>
    <t>WHalt04</t>
  </si>
  <si>
    <t>WHalt05</t>
  </si>
  <si>
    <t>WHalt06</t>
  </si>
  <si>
    <t>WHalt07</t>
  </si>
  <si>
    <t>WHalt08</t>
  </si>
  <si>
    <t>WHalt09</t>
  </si>
  <si>
    <t>Savage</t>
  </si>
  <si>
    <t>Hooligan</t>
  </si>
  <si>
    <t>Fighter</t>
  </si>
  <si>
    <t>Tornado</t>
  </si>
  <si>
    <t>Firewall</t>
  </si>
  <si>
    <t>Northerner</t>
  </si>
  <si>
    <t>Bulldozer</t>
  </si>
  <si>
    <t>Prometheus</t>
  </si>
  <si>
    <t>Jackhammer</t>
  </si>
  <si>
    <t>Cupid</t>
  </si>
  <si>
    <t>Anvil</t>
  </si>
  <si>
    <t>Voltage</t>
  </si>
  <si>
    <t>Juggler</t>
  </si>
  <si>
    <t>Minotaur</t>
  </si>
  <si>
    <t>Nomad</t>
  </si>
  <si>
    <t>Raiden</t>
  </si>
  <si>
    <t>Paladin</t>
  </si>
  <si>
    <t>Rock climber</t>
  </si>
  <si>
    <t>Firefly</t>
  </si>
  <si>
    <t>Exterminator</t>
  </si>
  <si>
    <t>Fujiyama</t>
  </si>
  <si>
    <t>Avalanche</t>
  </si>
  <si>
    <t>Chiropractor</t>
  </si>
  <si>
    <t>Glaze</t>
  </si>
  <si>
    <t>Ant</t>
  </si>
  <si>
    <t>Ghost</t>
  </si>
  <si>
    <t>Centaur</t>
  </si>
  <si>
    <t>Eyjafjallajokull</t>
  </si>
  <si>
    <t>Maestro</t>
  </si>
  <si>
    <t>Vampire</t>
  </si>
  <si>
    <t>Piranha</t>
  </si>
  <si>
    <t>Siberian</t>
  </si>
  <si>
    <t>Boar</t>
  </si>
  <si>
    <t>Touche</t>
  </si>
  <si>
    <t>Guardian</t>
  </si>
  <si>
    <t>Bulldog</t>
  </si>
  <si>
    <t>Hero</t>
  </si>
  <si>
    <t>Predator</t>
  </si>
  <si>
    <t>Anaconda</t>
  </si>
  <si>
    <t>Jam</t>
  </si>
  <si>
    <t>Mosquito</t>
  </si>
  <si>
    <t>Bumblebee</t>
  </si>
  <si>
    <t>Stormbringer</t>
  </si>
  <si>
    <t>Rockshaper</t>
  </si>
  <si>
    <t>Man-o-war</t>
  </si>
  <si>
    <t>Gustav</t>
  </si>
  <si>
    <t>Striker</t>
  </si>
  <si>
    <t>Matrix</t>
  </si>
  <si>
    <t>Stinger</t>
  </si>
  <si>
    <t>Simoom</t>
  </si>
  <si>
    <t>Annihilator</t>
  </si>
  <si>
    <t>Aborigine</t>
  </si>
  <si>
    <t>Vandal</t>
  </si>
  <si>
    <t>Redneck</t>
  </si>
  <si>
    <t>Sniper</t>
  </si>
  <si>
    <t>Blizzard</t>
  </si>
  <si>
    <t>Gunslinger</t>
  </si>
  <si>
    <t>Osaka</t>
  </si>
  <si>
    <t>Fireworks</t>
  </si>
  <si>
    <t>Boreas</t>
  </si>
  <si>
    <t>Cardinal</t>
  </si>
  <si>
    <t>Destroyer</t>
  </si>
  <si>
    <t>Hunstman</t>
  </si>
  <si>
    <t>Hammer of Thor</t>
  </si>
  <si>
    <t>Corsair</t>
  </si>
  <si>
    <t>Pitbull</t>
  </si>
  <si>
    <t>Vesuvius</t>
  </si>
  <si>
    <t>Firebolt</t>
  </si>
  <si>
    <t>Legend</t>
  </si>
  <si>
    <t>Healer</t>
  </si>
  <si>
    <t>Turtle</t>
  </si>
  <si>
    <t>Medic</t>
  </si>
  <si>
    <t>Boxer</t>
  </si>
  <si>
    <t>Raider</t>
  </si>
  <si>
    <t>Giant</t>
  </si>
  <si>
    <t>Unicorn</t>
  </si>
  <si>
    <t>Panther</t>
  </si>
  <si>
    <t>Rocketeer</t>
  </si>
  <si>
    <t>Archer</t>
  </si>
  <si>
    <t>Stalker</t>
  </si>
  <si>
    <t>Ballista</t>
  </si>
  <si>
    <t>Excalibur</t>
  </si>
  <si>
    <t>DI</t>
  </si>
  <si>
    <t>PRICE</t>
  </si>
  <si>
    <t>WHalt10</t>
  </si>
  <si>
    <t>WHalt11</t>
  </si>
  <si>
    <t>WHalt12</t>
  </si>
  <si>
    <t>DA</t>
  </si>
  <si>
    <t>DD</t>
  </si>
  <si>
    <t>SB</t>
  </si>
  <si>
    <t>M</t>
  </si>
  <si>
    <t>RK</t>
  </si>
  <si>
    <t>Justice</t>
  </si>
  <si>
    <t>Refrigerator</t>
  </si>
  <si>
    <t>TI</t>
  </si>
  <si>
    <t>RL</t>
  </si>
  <si>
    <t>FR</t>
  </si>
  <si>
    <t>FZ</t>
  </si>
  <si>
    <t>HM</t>
  </si>
  <si>
    <t>TW</t>
  </si>
  <si>
    <t>RI</t>
  </si>
  <si>
    <t>TH</t>
  </si>
  <si>
    <t>ST</t>
  </si>
  <si>
    <t>SH</t>
  </si>
  <si>
    <t>VL</t>
  </si>
  <si>
    <t>MG</t>
  </si>
  <si>
    <t>IS</t>
  </si>
  <si>
    <t>SM</t>
  </si>
  <si>
    <t>M2</t>
  </si>
  <si>
    <t>HO</t>
  </si>
  <si>
    <t>VI</t>
  </si>
  <si>
    <t>HU</t>
  </si>
  <si>
    <t>MM</t>
  </si>
  <si>
    <t>TH TW</t>
  </si>
  <si>
    <t>Siegfried</t>
  </si>
  <si>
    <t>M3</t>
  </si>
  <si>
    <t>Cosmonaut</t>
  </si>
  <si>
    <t>Bertha</t>
  </si>
  <si>
    <t>Challenger</t>
  </si>
  <si>
    <t>Huntsman</t>
  </si>
  <si>
    <t>M1</t>
  </si>
  <si>
    <t>Master Of Taiga</t>
  </si>
  <si>
    <t>EXP</t>
  </si>
  <si>
    <t>CRYSTALS</t>
  </si>
  <si>
    <t>GB</t>
  </si>
  <si>
    <t>RANK</t>
  </si>
  <si>
    <t>HULL</t>
  </si>
  <si>
    <t>TURRET</t>
  </si>
  <si>
    <t>MODULE</t>
  </si>
  <si>
    <t>HO HM M1</t>
  </si>
  <si>
    <t>HO FZ M1</t>
  </si>
  <si>
    <t>HU TH M1</t>
  </si>
  <si>
    <t xml:space="preserve">Medic </t>
  </si>
  <si>
    <t xml:space="preserve">Refrigerator </t>
  </si>
  <si>
    <t xml:space="preserve">Man-o-war </t>
  </si>
  <si>
    <t xml:space="preserve">Raiden </t>
  </si>
  <si>
    <t xml:space="preserve">Master Of Taiga </t>
  </si>
  <si>
    <t xml:space="preserve">Jackhammer </t>
  </si>
  <si>
    <t>harshitkapur1997</t>
  </si>
  <si>
    <t>125 RK</t>
  </si>
  <si>
    <t>125 DA</t>
  </si>
  <si>
    <t>125 DD</t>
  </si>
  <si>
    <t>125 SB</t>
  </si>
  <si>
    <t>125 M</t>
  </si>
  <si>
    <t>3500 C</t>
  </si>
  <si>
    <t>10000 C</t>
  </si>
  <si>
    <t>25000 C</t>
  </si>
  <si>
    <t>3 DPA</t>
  </si>
  <si>
    <t>10 DPA</t>
  </si>
  <si>
    <t>5 GB</t>
  </si>
  <si>
    <t>10 GB</t>
  </si>
  <si>
    <t>100 S</t>
  </si>
  <si>
    <t>250 S</t>
  </si>
  <si>
    <t>50 B</t>
  </si>
  <si>
    <t>150 B</t>
  </si>
  <si>
    <t>Garage P</t>
  </si>
  <si>
    <t>Epic P</t>
  </si>
  <si>
    <t>C</t>
  </si>
  <si>
    <t>B</t>
  </si>
  <si>
    <t>33 M2</t>
  </si>
  <si>
    <t>32 M1</t>
  </si>
  <si>
    <t>Legendary P</t>
  </si>
  <si>
    <t>100000 C</t>
  </si>
  <si>
    <t>5th</t>
  </si>
  <si>
    <t>8th</t>
  </si>
  <si>
    <t>effects</t>
  </si>
  <si>
    <t>striker</t>
  </si>
  <si>
    <t>Shot effects</t>
  </si>
  <si>
    <t>Total</t>
  </si>
  <si>
    <t>TI SM</t>
  </si>
  <si>
    <t>HO HM</t>
  </si>
  <si>
    <t>RI VI</t>
  </si>
  <si>
    <t>WA IS</t>
  </si>
  <si>
    <t>SM VI</t>
  </si>
  <si>
    <t>VI FZ</t>
  </si>
  <si>
    <t>HO FZ</t>
  </si>
  <si>
    <t>WA SM</t>
  </si>
  <si>
    <t>WA FR</t>
  </si>
  <si>
    <t>HO MG</t>
  </si>
  <si>
    <t>TI VL</t>
  </si>
  <si>
    <t>FZ VI</t>
  </si>
  <si>
    <t>ST VI</t>
  </si>
  <si>
    <t>DI RL</t>
  </si>
  <si>
    <t>DI MG</t>
  </si>
  <si>
    <t>VI TW</t>
  </si>
  <si>
    <t>VI TH</t>
  </si>
  <si>
    <t>Don’t upgrade</t>
  </si>
  <si>
    <t>Hornet</t>
  </si>
  <si>
    <t>Claim on mobile</t>
  </si>
  <si>
    <t>SK</t>
  </si>
  <si>
    <t>Kits</t>
  </si>
  <si>
    <t>Not upgrade</t>
  </si>
  <si>
    <t>Modules</t>
  </si>
  <si>
    <t>RL TH TW</t>
  </si>
  <si>
    <t>Turrets</t>
  </si>
  <si>
    <t>VI ST</t>
  </si>
  <si>
    <t>Hulls</t>
  </si>
  <si>
    <t>Buy all m0 turrets and hulls for shot effects</t>
  </si>
  <si>
    <t>Only those for which colours released</t>
  </si>
  <si>
    <t>shaft, striker, twins, rail, fire, freeze</t>
  </si>
  <si>
    <t>rico</t>
  </si>
  <si>
    <t>freeze</t>
  </si>
  <si>
    <t>21 dec dbf</t>
  </si>
  <si>
    <t>buy siberian and osaka on all accounts</t>
  </si>
  <si>
    <t>22nd</t>
  </si>
  <si>
    <t>26th</t>
  </si>
  <si>
    <t>23rd</t>
  </si>
  <si>
    <t>XT</t>
  </si>
  <si>
    <t>upgrade viking m0</t>
  </si>
  <si>
    <t>27th</t>
  </si>
  <si>
    <t>alterations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</si>
</sst>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0.000"/>
  </numFmts>
  <fonts count="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sz val="8"/>
      <name val="Tahoma"/>
      <family val="2"/>
    </font>
    <font>
      <sz val="11"/>
      <color rgb="FF006100"/>
      <name val="Calibri"/>
      <family val="2"/>
      <scheme val="minor"/>
    </font>
    <font>
      <sz val="11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C6EF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6" borderId="0" applyNumberFormat="0" applyBorder="0" applyAlignment="0" applyProtection="0"/>
  </cellStyleXfs>
  <cellXfs count="61">
    <xf numFmtId="0" fontId="0" fillId="0" borderId="0" xfId="0"/>
    <xf numFmtId="0" fontId="0" fillId="2" borderId="0" xfId="0" applyFill="1" applyAlignment="1">
      <alignment horizontal="center"/>
    </xf>
    <xf numFmtId="9" fontId="0" fillId="0" borderId="0" xfId="0" applyNumberForma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/>
    </xf>
    <xf numFmtId="0" fontId="5" fillId="6" borderId="0" xfId="1" applyAlignment="1">
      <alignment horizontal="center"/>
    </xf>
    <xf numFmtId="0" fontId="5" fillId="7" borderId="0" xfId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0" borderId="0" xfId="0"/>
    <xf numFmtId="3" fontId="3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Alignment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/>
    </xf>
    <xf numFmtId="0" fontId="1" fillId="0" borderId="0" xfId="0" applyFont="1" applyAlignment="1"/>
    <xf numFmtId="0" fontId="1" fillId="0" borderId="0" xfId="0" applyFont="1"/>
    <xf numFmtId="0" fontId="0" fillId="0" borderId="0" xfId="0"/>
    <xf numFmtId="0" fontId="0" fillId="0" borderId="0" xfId="0" applyFill="1" applyAlignment="1">
      <alignment horizontal="center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164" fontId="0" fillId="2" borderId="0" xfId="0" applyNumberFormat="1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3" fillId="13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6" fillId="13" borderId="0" xfId="0" applyFont="1" applyFill="1" applyAlignment="1">
      <alignment horizontal="center"/>
    </xf>
    <xf numFmtId="3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0" fontId="0" fillId="2" borderId="0" xfId="0" applyFill="1"/>
    <xf numFmtId="3" fontId="0" fillId="13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3" fontId="0" fillId="0" borderId="0" xfId="0" applyNumberFormat="1"/>
    <xf numFmtId="3" fontId="0" fillId="0" borderId="0" xfId="0" applyNumberFormat="1" applyAlignment="1"/>
    <xf numFmtId="0" fontId="0" fillId="14" borderId="0" xfId="0" applyFill="1" applyAlignment="1">
      <alignment horizontal="center"/>
    </xf>
  </cellXfs>
  <cellStyles count="2">
    <cellStyle name="Good" xfId="1" builtinId="26"/>
    <cellStyle name="Normal" xfId="0" builtinId="0"/>
  </cellStyles>
  <dxfs count="0"/>
  <tableStyles count="1" defaultTableStyle="TableStyleMedium9" defaultPivotStyle="PivotStyleLight16">
    <tableStyle name="Table Style 1" pivot="0" count="0"/>
  </tableStyles>
  <colors>
    <mruColors>
      <color rgb="FF00FFFF"/>
      <color rgb="FFDAA520"/>
      <color rgb="FFCC00FF"/>
      <color rgb="FF00FF00"/>
      <color rgb="FFFFC7CE"/>
      <color rgb="FFC6EFCE"/>
      <color rgb="FFFC2C2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1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1693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70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76;476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794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847;529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900;476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23;37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609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97;37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97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70;42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76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97;397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0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23;397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370;42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0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76;50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926;50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76;37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76;50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688;476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873;450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794;476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820;423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635;556"/>
  <ax:ocxPr ax:name="Value" ax:value="0"/>
  <ax:ocxPr ax:name="GroupName" ax:value="Statisitics"/>
  <ax:ocxPr ax:name="FontName" ax:value="Calibri"/>
  <ax:ocxPr ax:name="FontHeight" ax:value="225"/>
  <ax:ocxPr ax:name="FontCharSet" ax:value="0"/>
  <ax:ocxPr ax:name="FontPitchAndFamily" ax:value="2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8.6896981627296727E-2"/>
          <c:y val="0.25748304899387581"/>
          <c:w val="0.87940234033245757"/>
          <c:h val="0.63763834208223968"/>
        </c:manualLayout>
      </c:layout>
      <c:scatterChart>
        <c:scatterStyle val="lineMarker"/>
        <c:ser>
          <c:idx val="0"/>
          <c:order val="0"/>
          <c:tx>
            <c:v>2017</c:v>
          </c:tx>
          <c:spPr>
            <a:ln w="28575">
              <a:noFill/>
            </a:ln>
          </c:spPr>
          <c:xVal>
            <c:numRef>
              <c:f>Calendar!$A$2:$A$16</c:f>
              <c:numCache>
                <c:formatCode>[$-F800]dddd\,\ mmmm\ dd\,\ yyyy</c:formatCode>
                <c:ptCount val="15"/>
                <c:pt idx="0">
                  <c:v>42736</c:v>
                </c:pt>
                <c:pt idx="1">
                  <c:v>42756</c:v>
                </c:pt>
                <c:pt idx="2">
                  <c:v>42780</c:v>
                </c:pt>
                <c:pt idx="3">
                  <c:v>42792</c:v>
                </c:pt>
                <c:pt idx="4">
                  <c:v>42824</c:v>
                </c:pt>
                <c:pt idx="5">
                  <c:v>42837</c:v>
                </c:pt>
                <c:pt idx="6">
                  <c:v>42854</c:v>
                </c:pt>
                <c:pt idx="7">
                  <c:v>42890</c:v>
                </c:pt>
                <c:pt idx="8">
                  <c:v>42925</c:v>
                </c:pt>
                <c:pt idx="9">
                  <c:v>42938</c:v>
                </c:pt>
                <c:pt idx="10">
                  <c:v>42953</c:v>
                </c:pt>
                <c:pt idx="11">
                  <c:v>42974</c:v>
                </c:pt>
                <c:pt idx="12">
                  <c:v>42988</c:v>
                </c:pt>
                <c:pt idx="13">
                  <c:v>43042</c:v>
                </c:pt>
                <c:pt idx="14">
                  <c:v>43099</c:v>
                </c:pt>
              </c:numCache>
            </c:numRef>
          </c:xVal>
          <c:yVal>
            <c:numRef>
              <c:f>Calendar!$B$2:$B$16</c:f>
              <c:numCache>
                <c:formatCode>0%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0.25</c:v>
                </c:pt>
                <c:pt idx="5">
                  <c:v>0.25</c:v>
                </c:pt>
                <c:pt idx="6">
                  <c:v>0.3</c:v>
                </c:pt>
                <c:pt idx="7">
                  <c:v>0.25</c:v>
                </c:pt>
                <c:pt idx="8">
                  <c:v>0.25</c:v>
                </c:pt>
                <c:pt idx="9">
                  <c:v>0.5</c:v>
                </c:pt>
                <c:pt idx="10">
                  <c:v>0.25</c:v>
                </c:pt>
                <c:pt idx="11">
                  <c:v>0.25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yVal>
        </c:ser>
        <c:axId val="62362752"/>
        <c:axId val="62364288"/>
      </c:scatterChart>
      <c:valAx>
        <c:axId val="62362752"/>
        <c:scaling>
          <c:orientation val="minMax"/>
        </c:scaling>
        <c:delete val="1"/>
        <c:axPos val="b"/>
        <c:numFmt formatCode="[$-F800]dddd\,\ mmmm\ dd\,\ yyyy" sourceLinked="1"/>
        <c:tickLblPos val="nextTo"/>
        <c:crossAx val="62364288"/>
        <c:crosses val="autoZero"/>
        <c:crossBetween val="midCat"/>
      </c:valAx>
      <c:valAx>
        <c:axId val="62364288"/>
        <c:scaling>
          <c:orientation val="minMax"/>
        </c:scaling>
        <c:axPos val="l"/>
        <c:majorGridlines/>
        <c:numFmt formatCode="0%" sourceLinked="1"/>
        <c:tickLblPos val="nextTo"/>
        <c:crossAx val="623627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7.0230314960629925E-2"/>
          <c:y val="0.2783163823272477"/>
          <c:w val="0.87245789588801403"/>
          <c:h val="0.63069389763787487"/>
        </c:manualLayout>
      </c:layout>
      <c:scatterChart>
        <c:scatterStyle val="lineMarker"/>
        <c:ser>
          <c:idx val="0"/>
          <c:order val="0"/>
          <c:tx>
            <c:v>2018</c:v>
          </c:tx>
          <c:spPr>
            <a:ln w="28575">
              <a:noFill/>
            </a:ln>
          </c:spPr>
          <c:xVal>
            <c:numRef>
              <c:f>Calendar!$A$18:$A$33</c:f>
              <c:numCache>
                <c:formatCode>[$-F800]dddd\,\ mmmm\ dd\,\ yyyy</c:formatCode>
                <c:ptCount val="16"/>
                <c:pt idx="0">
                  <c:v>43101</c:v>
                </c:pt>
                <c:pt idx="1">
                  <c:v>43128</c:v>
                </c:pt>
                <c:pt idx="2">
                  <c:v>43145</c:v>
                </c:pt>
                <c:pt idx="3">
                  <c:v>43156</c:v>
                </c:pt>
                <c:pt idx="4">
                  <c:v>43170</c:v>
                </c:pt>
                <c:pt idx="5">
                  <c:v>43184</c:v>
                </c:pt>
                <c:pt idx="6">
                  <c:v>43204</c:v>
                </c:pt>
                <c:pt idx="7">
                  <c:v>43219</c:v>
                </c:pt>
                <c:pt idx="8">
                  <c:v>43240</c:v>
                </c:pt>
                <c:pt idx="9">
                  <c:v>43261</c:v>
                </c:pt>
                <c:pt idx="10">
                  <c:v>43275</c:v>
                </c:pt>
                <c:pt idx="11">
                  <c:v>43289</c:v>
                </c:pt>
                <c:pt idx="12">
                  <c:v>43339</c:v>
                </c:pt>
                <c:pt idx="13">
                  <c:v>43353</c:v>
                </c:pt>
                <c:pt idx="14">
                  <c:v>43407</c:v>
                </c:pt>
                <c:pt idx="15">
                  <c:v>43464</c:v>
                </c:pt>
              </c:numCache>
            </c:numRef>
          </c:xVal>
          <c:yVal>
            <c:numRef>
              <c:f>Calendar!$B$18:$B$33</c:f>
              <c:numCache>
                <c:formatCode>0%</c:formatCode>
                <c:ptCount val="16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0.25</c:v>
                </c:pt>
                <c:pt idx="9">
                  <c:v>0.5</c:v>
                </c:pt>
                <c:pt idx="10">
                  <c:v>0.25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</c:ser>
        <c:axId val="62384768"/>
        <c:axId val="62587264"/>
      </c:scatterChart>
      <c:valAx>
        <c:axId val="62384768"/>
        <c:scaling>
          <c:orientation val="minMax"/>
        </c:scaling>
        <c:delete val="1"/>
        <c:axPos val="b"/>
        <c:numFmt formatCode="[$-F800]dddd\,\ mmmm\ dd\,\ yyyy" sourceLinked="1"/>
        <c:tickLblPos val="nextTo"/>
        <c:crossAx val="62587264"/>
        <c:crosses val="autoZero"/>
        <c:crossBetween val="midCat"/>
      </c:valAx>
      <c:valAx>
        <c:axId val="62587264"/>
        <c:scaling>
          <c:orientation val="minMax"/>
        </c:scaling>
        <c:axPos val="l"/>
        <c:majorGridlines/>
        <c:numFmt formatCode="0%" sourceLinked="1"/>
        <c:tickLblPos val="nextTo"/>
        <c:crossAx val="623847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19051</xdr:colOff>
      <xdr:row>0</xdr:row>
      <xdr:rowOff>0</xdr:rowOff>
    </xdr:from>
    <xdr:to>
      <xdr:col>10</xdr:col>
      <xdr:colOff>190501</xdr:colOff>
      <xdr:row>27</xdr:row>
      <xdr:rowOff>118179</xdr:rowOff>
    </xdr:to>
    <xdr:pic>
      <xdr:nvPicPr>
        <xdr:cNvPr id="2049" name="Picture 1" descr="Ranks en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9051" y="0"/>
          <a:ext cx="6267450" cy="5518854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0</xdr:row>
      <xdr:rowOff>47625</xdr:rowOff>
    </xdr:from>
    <xdr:to>
      <xdr:col>16</xdr:col>
      <xdr:colOff>590550</xdr:colOff>
      <xdr:row>9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600075</xdr:colOff>
      <xdr:row>10</xdr:row>
      <xdr:rowOff>123825</xdr:rowOff>
    </xdr:from>
    <xdr:to>
      <xdr:col>16</xdr:col>
      <xdr:colOff>600075</xdr:colOff>
      <xdr:row>20</xdr:row>
      <xdr:rowOff>47625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21.xml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4.xml"/><Relationship Id="rId3" Type="http://schemas.openxmlformats.org/officeDocument/2006/relationships/control" Target="../activeX/activeX11.xml"/><Relationship Id="rId21" Type="http://schemas.openxmlformats.org/officeDocument/2006/relationships/control" Target="../activeX/activeX29.xml"/><Relationship Id="rId7" Type="http://schemas.openxmlformats.org/officeDocument/2006/relationships/control" Target="../activeX/activeX15.xml"/><Relationship Id="rId12" Type="http://schemas.openxmlformats.org/officeDocument/2006/relationships/control" Target="../activeX/activeX20.xml"/><Relationship Id="rId17" Type="http://schemas.openxmlformats.org/officeDocument/2006/relationships/control" Target="../activeX/activeX25.xml"/><Relationship Id="rId25" Type="http://schemas.openxmlformats.org/officeDocument/2006/relationships/control" Target="../activeX/activeX33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4.xml"/><Relationship Id="rId20" Type="http://schemas.openxmlformats.org/officeDocument/2006/relationships/control" Target="../activeX/activeX2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control" Target="../activeX/activeX19.xml"/><Relationship Id="rId24" Type="http://schemas.openxmlformats.org/officeDocument/2006/relationships/control" Target="../activeX/activeX32.xml"/><Relationship Id="rId5" Type="http://schemas.openxmlformats.org/officeDocument/2006/relationships/control" Target="../activeX/activeX13.xml"/><Relationship Id="rId15" Type="http://schemas.openxmlformats.org/officeDocument/2006/relationships/control" Target="../activeX/activeX23.xml"/><Relationship Id="rId23" Type="http://schemas.openxmlformats.org/officeDocument/2006/relationships/control" Target="../activeX/activeX31.xml"/><Relationship Id="rId10" Type="http://schemas.openxmlformats.org/officeDocument/2006/relationships/control" Target="../activeX/activeX18.xml"/><Relationship Id="rId19" Type="http://schemas.openxmlformats.org/officeDocument/2006/relationships/control" Target="../activeX/activeX27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7.xml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30.xml"/><Relationship Id="rId27" Type="http://schemas.openxmlformats.org/officeDocument/2006/relationships/control" Target="../activeX/activeX3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C59"/>
  <sheetViews>
    <sheetView tabSelected="1" workbookViewId="0">
      <selection activeCell="E14" sqref="E14"/>
    </sheetView>
  </sheetViews>
  <sheetFormatPr defaultRowHeight="15.95" customHeight="1"/>
  <cols>
    <col min="1" max="1" width="12.7109375" style="14" bestFit="1" customWidth="1"/>
    <col min="2" max="2" width="4.140625" style="14" customWidth="1"/>
    <col min="3" max="3" width="8.140625" style="14" customWidth="1"/>
    <col min="4" max="4" width="11.7109375" style="14" customWidth="1"/>
    <col min="5" max="5" width="8.85546875" style="30" customWidth="1"/>
    <col min="6" max="6" width="8.85546875" style="14" customWidth="1"/>
    <col min="7" max="7" width="11.5703125" style="52" customWidth="1"/>
    <col min="8" max="8" width="14.7109375" customWidth="1"/>
    <col min="9" max="9" width="11.7109375" style="52" customWidth="1"/>
    <col min="11" max="11" width="9.42578125" style="24" customWidth="1"/>
    <col min="12" max="12" width="10.140625" style="24" customWidth="1"/>
    <col min="13" max="13" width="17.5703125" style="24" customWidth="1"/>
    <col min="14" max="15" width="9.140625" style="14"/>
    <col min="16" max="16" width="7.85546875" style="14" customWidth="1"/>
    <col min="17" max="17" width="9.140625" style="14"/>
    <col min="18" max="18" width="5.7109375" style="14" customWidth="1"/>
    <col min="19" max="16384" width="9.140625" style="14"/>
  </cols>
  <sheetData>
    <row r="1" spans="1:55" s="7" customFormat="1" ht="15.95" customHeight="1">
      <c r="A1" s="13"/>
      <c r="B1" s="14"/>
      <c r="C1" s="8" t="s">
        <v>143</v>
      </c>
      <c r="D1" s="8" t="s">
        <v>178</v>
      </c>
      <c r="E1" s="30"/>
      <c r="F1" s="37"/>
      <c r="G1" s="52"/>
      <c r="H1" s="52" t="s">
        <v>141</v>
      </c>
      <c r="I1" s="52" t="s">
        <v>129</v>
      </c>
      <c r="J1" s="37"/>
      <c r="K1" s="29"/>
      <c r="L1" s="24"/>
      <c r="M1" s="30" t="s">
        <v>160</v>
      </c>
      <c r="N1" s="52">
        <v>73</v>
      </c>
      <c r="O1" s="53">
        <f t="shared" ref="O1:O22" si="0">N1/$N$24</f>
        <v>4.685494223363286E-2</v>
      </c>
      <c r="P1" s="52"/>
      <c r="Q1" s="30">
        <f t="shared" ref="Q1:Q20" si="1">ROUND(1/O1,0)</f>
        <v>21</v>
      </c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</row>
    <row r="2" spans="1:55" ht="15.95" customHeight="1">
      <c r="A2" s="34" t="s">
        <v>0</v>
      </c>
      <c r="B2" s="52"/>
      <c r="C2" s="9">
        <v>15188</v>
      </c>
      <c r="D2" s="57">
        <v>258999</v>
      </c>
      <c r="E2" s="30" t="s">
        <v>190</v>
      </c>
      <c r="F2" s="4" t="s">
        <v>192</v>
      </c>
      <c r="G2" s="4" t="s">
        <v>225</v>
      </c>
      <c r="H2" s="52"/>
      <c r="I2" s="52" t="s">
        <v>53</v>
      </c>
      <c r="K2" s="8" t="s">
        <v>143</v>
      </c>
      <c r="M2" s="30" t="s">
        <v>161</v>
      </c>
      <c r="N2" s="52">
        <v>170</v>
      </c>
      <c r="O2" s="53">
        <f t="shared" si="0"/>
        <v>0.10911424903722722</v>
      </c>
      <c r="P2" s="52"/>
      <c r="Q2" s="30">
        <f t="shared" si="1"/>
        <v>9</v>
      </c>
      <c r="S2" s="52"/>
    </row>
    <row r="3" spans="1:55" ht="15.95" customHeight="1">
      <c r="A3" s="47" t="s">
        <v>15</v>
      </c>
      <c r="B3" s="52"/>
      <c r="C3" s="9">
        <v>31305</v>
      </c>
      <c r="D3" s="57">
        <v>253656</v>
      </c>
      <c r="E3" s="33" t="s">
        <v>190</v>
      </c>
      <c r="F3" s="52" t="s">
        <v>191</v>
      </c>
      <c r="G3" s="4" t="s">
        <v>225</v>
      </c>
      <c r="H3" s="1" t="s">
        <v>202</v>
      </c>
      <c r="I3" s="52" t="s">
        <v>32</v>
      </c>
      <c r="K3" s="8" t="s">
        <v>178</v>
      </c>
      <c r="L3" s="27"/>
      <c r="M3" s="30" t="s">
        <v>162</v>
      </c>
      <c r="N3" s="52">
        <v>178</v>
      </c>
      <c r="O3" s="53">
        <f t="shared" si="0"/>
        <v>0.11424903722721438</v>
      </c>
      <c r="P3" s="52"/>
      <c r="Q3" s="30">
        <f t="shared" si="1"/>
        <v>9</v>
      </c>
    </row>
    <row r="4" spans="1:55" ht="15.95" customHeight="1">
      <c r="A4" s="38" t="s">
        <v>10</v>
      </c>
      <c r="B4" s="52"/>
      <c r="C4" s="9">
        <v>18590</v>
      </c>
      <c r="D4" s="57">
        <v>238153</v>
      </c>
      <c r="E4" s="33" t="s">
        <v>190</v>
      </c>
      <c r="F4" s="37"/>
      <c r="G4" s="4" t="s">
        <v>226</v>
      </c>
      <c r="H4" s="1" t="s">
        <v>203</v>
      </c>
      <c r="I4" s="52" t="s">
        <v>70</v>
      </c>
      <c r="K4" s="8"/>
      <c r="M4" s="30" t="s">
        <v>163</v>
      </c>
      <c r="N4" s="52">
        <v>179</v>
      </c>
      <c r="O4" s="53">
        <f t="shared" si="0"/>
        <v>0.11489088575096278</v>
      </c>
      <c r="P4" s="52"/>
      <c r="Q4" s="30">
        <f t="shared" si="1"/>
        <v>9</v>
      </c>
    </row>
    <row r="5" spans="1:55" ht="15.95" customHeight="1">
      <c r="A5" s="52" t="s">
        <v>16</v>
      </c>
      <c r="B5" s="52"/>
      <c r="C5" s="9">
        <v>27792</v>
      </c>
      <c r="D5" s="57">
        <v>235464</v>
      </c>
      <c r="E5" s="30" t="s">
        <v>190</v>
      </c>
      <c r="F5" s="4" t="s">
        <v>193</v>
      </c>
      <c r="G5" s="4" t="s">
        <v>225</v>
      </c>
      <c r="H5" s="1" t="s">
        <v>206</v>
      </c>
      <c r="I5" s="52" t="s">
        <v>86</v>
      </c>
      <c r="K5" s="8"/>
      <c r="M5" s="30" t="s">
        <v>164</v>
      </c>
      <c r="N5" s="52">
        <v>144</v>
      </c>
      <c r="O5" s="53">
        <f t="shared" si="0"/>
        <v>9.2426187419768935E-2</v>
      </c>
      <c r="P5" s="52"/>
      <c r="Q5" s="30">
        <f t="shared" si="1"/>
        <v>11</v>
      </c>
    </row>
    <row r="6" spans="1:55" ht="15.95" customHeight="1">
      <c r="A6" s="47" t="s">
        <v>105</v>
      </c>
      <c r="B6" s="52"/>
      <c r="C6" s="9">
        <v>20564</v>
      </c>
      <c r="D6" s="57">
        <v>185955</v>
      </c>
      <c r="E6" s="30" t="s">
        <v>194</v>
      </c>
      <c r="F6" s="52"/>
      <c r="G6" s="4"/>
      <c r="H6" s="1" t="s">
        <v>205</v>
      </c>
      <c r="I6" s="52" t="s">
        <v>100</v>
      </c>
      <c r="K6" s="8"/>
      <c r="M6" s="30" t="s">
        <v>172</v>
      </c>
      <c r="N6" s="52">
        <v>51</v>
      </c>
      <c r="O6" s="53">
        <f t="shared" si="0"/>
        <v>3.2734274711168167E-2</v>
      </c>
      <c r="P6" s="52"/>
      <c r="Q6" s="30">
        <f t="shared" si="1"/>
        <v>31</v>
      </c>
    </row>
    <row r="7" spans="1:55" ht="15.95" customHeight="1">
      <c r="A7" s="48" t="s">
        <v>9</v>
      </c>
      <c r="B7" s="52"/>
      <c r="C7" s="9">
        <v>22179</v>
      </c>
      <c r="D7" s="57">
        <v>179083</v>
      </c>
      <c r="E7" s="30" t="s">
        <v>194</v>
      </c>
      <c r="F7" s="37"/>
      <c r="G7" s="4"/>
      <c r="H7" s="1" t="s">
        <v>204</v>
      </c>
      <c r="I7" s="52" t="s">
        <v>43</v>
      </c>
      <c r="K7" s="8"/>
      <c r="M7" s="30" t="s">
        <v>173</v>
      </c>
      <c r="N7" s="52">
        <v>31</v>
      </c>
      <c r="O7" s="53">
        <f t="shared" si="0"/>
        <v>1.9897304236200258E-2</v>
      </c>
      <c r="P7" s="52"/>
      <c r="Q7" s="30">
        <f t="shared" si="1"/>
        <v>50</v>
      </c>
    </row>
    <row r="8" spans="1:55" ht="15.95" customHeight="1">
      <c r="A8" s="26" t="s">
        <v>5</v>
      </c>
      <c r="B8" s="52"/>
      <c r="C8" s="9">
        <v>19408</v>
      </c>
      <c r="D8" s="57">
        <v>180111</v>
      </c>
      <c r="E8" s="30" t="s">
        <v>194</v>
      </c>
      <c r="F8" s="37"/>
      <c r="G8" s="4" t="s">
        <v>227</v>
      </c>
      <c r="H8" s="52"/>
      <c r="I8" s="52" t="s">
        <v>102</v>
      </c>
      <c r="K8" s="8"/>
      <c r="L8" s="27"/>
      <c r="M8" s="30" t="s">
        <v>174</v>
      </c>
      <c r="N8" s="52">
        <v>93</v>
      </c>
      <c r="O8" s="53">
        <f t="shared" si="0"/>
        <v>5.9691912708600768E-2</v>
      </c>
      <c r="P8" s="52"/>
      <c r="Q8" s="30">
        <f t="shared" si="1"/>
        <v>17</v>
      </c>
      <c r="S8" s="52"/>
    </row>
    <row r="9" spans="1:55" ht="15.95" customHeight="1">
      <c r="A9" s="52" t="s">
        <v>13</v>
      </c>
      <c r="B9" s="52"/>
      <c r="C9" s="9">
        <v>32198</v>
      </c>
      <c r="D9" s="57">
        <v>169124</v>
      </c>
      <c r="E9" s="30" t="s">
        <v>190</v>
      </c>
      <c r="F9" s="4" t="s">
        <v>192</v>
      </c>
      <c r="G9" s="4" t="s">
        <v>225</v>
      </c>
      <c r="H9" s="52"/>
      <c r="I9" s="52" t="s">
        <v>25</v>
      </c>
      <c r="K9" s="8"/>
      <c r="M9" s="30" t="s">
        <v>175</v>
      </c>
      <c r="N9" s="52">
        <v>17</v>
      </c>
      <c r="O9" s="53">
        <f t="shared" si="0"/>
        <v>1.0911424903722721E-2</v>
      </c>
      <c r="P9" s="32">
        <f>SUM(O1:O9)</f>
        <v>0.60077021822849808</v>
      </c>
      <c r="Q9" s="30">
        <f t="shared" si="1"/>
        <v>92</v>
      </c>
    </row>
    <row r="10" spans="1:55" ht="15.95" customHeight="1">
      <c r="A10" s="60" t="s">
        <v>107</v>
      </c>
      <c r="B10" s="52"/>
      <c r="C10" s="9">
        <v>20421</v>
      </c>
      <c r="D10" s="57">
        <v>166873</v>
      </c>
      <c r="E10" s="30" t="s">
        <v>190</v>
      </c>
      <c r="F10" s="52"/>
      <c r="G10" s="4" t="s">
        <v>227</v>
      </c>
      <c r="H10" s="52"/>
      <c r="I10" s="52" t="s">
        <v>94</v>
      </c>
      <c r="K10" s="8"/>
      <c r="M10" s="30" t="s">
        <v>176</v>
      </c>
      <c r="N10" s="52">
        <v>70</v>
      </c>
      <c r="O10" s="53">
        <f t="shared" si="0"/>
        <v>4.4929396662387676E-2</v>
      </c>
      <c r="P10" s="52"/>
      <c r="Q10" s="30">
        <f t="shared" si="1"/>
        <v>22</v>
      </c>
    </row>
    <row r="11" spans="1:55" ht="15.95" customHeight="1">
      <c r="A11" s="1" t="s">
        <v>14</v>
      </c>
      <c r="B11" s="52"/>
      <c r="C11" s="9">
        <v>17096</v>
      </c>
      <c r="D11" s="57">
        <v>154401</v>
      </c>
      <c r="E11" s="30" t="s">
        <v>194</v>
      </c>
      <c r="F11" s="4"/>
      <c r="G11" s="4" t="s">
        <v>225</v>
      </c>
      <c r="H11" s="52"/>
      <c r="I11" s="52" t="s">
        <v>34</v>
      </c>
      <c r="K11" s="8"/>
      <c r="M11" s="30" t="s">
        <v>177</v>
      </c>
      <c r="N11" s="52">
        <v>19</v>
      </c>
      <c r="O11" s="53">
        <f t="shared" si="0"/>
        <v>1.2195121951219513E-2</v>
      </c>
      <c r="P11" s="32">
        <f>SUM(O10:O11)</f>
        <v>5.7124518613607192E-2</v>
      </c>
      <c r="Q11" s="30">
        <f t="shared" si="1"/>
        <v>82</v>
      </c>
      <c r="S11" s="52"/>
      <c r="T11" s="52"/>
    </row>
    <row r="12" spans="1:55" ht="15.95" customHeight="1">
      <c r="A12" s="38" t="s">
        <v>11</v>
      </c>
      <c r="B12" s="52"/>
      <c r="C12" s="9">
        <v>15721</v>
      </c>
      <c r="D12" s="57">
        <v>148155</v>
      </c>
      <c r="E12" s="30" t="s">
        <v>190</v>
      </c>
      <c r="G12" s="4" t="s">
        <v>226</v>
      </c>
      <c r="H12" s="52"/>
      <c r="I12" s="52" t="s">
        <v>78</v>
      </c>
      <c r="K12" s="29"/>
      <c r="M12" s="52" t="s">
        <v>182</v>
      </c>
      <c r="N12" s="52">
        <v>7</v>
      </c>
      <c r="O12" s="53">
        <f t="shared" si="0"/>
        <v>4.4929396662387678E-3</v>
      </c>
      <c r="P12" s="52"/>
      <c r="Q12" s="52">
        <f t="shared" si="1"/>
        <v>223</v>
      </c>
      <c r="S12" s="52"/>
    </row>
    <row r="13" spans="1:55" ht="15.95" customHeight="1">
      <c r="A13" s="52" t="s">
        <v>106</v>
      </c>
      <c r="B13" s="52"/>
      <c r="C13" s="9">
        <v>23788</v>
      </c>
      <c r="D13" s="57">
        <v>132538</v>
      </c>
      <c r="E13" s="30" t="s">
        <v>190</v>
      </c>
      <c r="F13" s="4" t="s">
        <v>196</v>
      </c>
      <c r="G13" s="4"/>
      <c r="H13" s="52"/>
      <c r="I13" s="52" t="s">
        <v>52</v>
      </c>
      <c r="K13" s="29"/>
      <c r="M13" s="30" t="s">
        <v>170</v>
      </c>
      <c r="N13" s="52">
        <v>31</v>
      </c>
      <c r="O13" s="53">
        <f t="shared" si="0"/>
        <v>1.9897304236200258E-2</v>
      </c>
      <c r="P13" s="52"/>
      <c r="Q13" s="30">
        <f t="shared" si="1"/>
        <v>50</v>
      </c>
    </row>
    <row r="14" spans="1:55" ht="15.95" customHeight="1">
      <c r="A14" s="52">
        <v>799169</v>
      </c>
      <c r="B14" s="52"/>
      <c r="C14" s="9">
        <v>35051</v>
      </c>
      <c r="D14" s="57">
        <v>156663</v>
      </c>
      <c r="E14" s="4" t="s">
        <v>198</v>
      </c>
      <c r="F14" s="37"/>
      <c r="G14" s="4" t="s">
        <v>225</v>
      </c>
      <c r="H14" s="52"/>
      <c r="K14" s="29"/>
      <c r="L14" s="27"/>
      <c r="M14" s="30" t="s">
        <v>171</v>
      </c>
      <c r="N14" s="52">
        <v>15</v>
      </c>
      <c r="O14" s="53">
        <f t="shared" si="0"/>
        <v>9.6277278562259313E-3</v>
      </c>
      <c r="P14" s="32">
        <f>SUM(O13:O14)</f>
        <v>2.9525032092426191E-2</v>
      </c>
      <c r="Q14" s="30">
        <f t="shared" si="1"/>
        <v>104</v>
      </c>
    </row>
    <row r="15" spans="1:55" ht="15.95" customHeight="1">
      <c r="A15" s="1" t="s">
        <v>17</v>
      </c>
      <c r="B15" s="52"/>
      <c r="C15" s="9">
        <v>16589</v>
      </c>
      <c r="D15" s="57">
        <v>138860</v>
      </c>
      <c r="E15" s="30" t="s">
        <v>194</v>
      </c>
      <c r="F15" s="52"/>
      <c r="G15" s="4" t="s">
        <v>225</v>
      </c>
      <c r="H15" s="52"/>
      <c r="I15" s="52" t="s">
        <v>59</v>
      </c>
      <c r="K15" s="8" t="s">
        <v>143</v>
      </c>
      <c r="L15" s="58">
        <f>AVERAGE(C2:C26)</f>
        <v>22032.68</v>
      </c>
      <c r="M15" s="30" t="s">
        <v>165</v>
      </c>
      <c r="N15" s="52">
        <v>259</v>
      </c>
      <c r="O15" s="53">
        <f t="shared" si="0"/>
        <v>0.1662387676508344</v>
      </c>
      <c r="P15" s="52"/>
      <c r="Q15" s="30">
        <f t="shared" si="1"/>
        <v>6</v>
      </c>
    </row>
    <row r="16" spans="1:55" ht="15.95" customHeight="1">
      <c r="A16" s="38" t="s">
        <v>18</v>
      </c>
      <c r="B16" s="52"/>
      <c r="C16" s="9">
        <v>15891</v>
      </c>
      <c r="D16" s="57">
        <v>137851</v>
      </c>
      <c r="E16" s="30" t="s">
        <v>197</v>
      </c>
      <c r="F16" s="37"/>
      <c r="G16" s="52" t="s">
        <v>226</v>
      </c>
      <c r="K16" s="8" t="s">
        <v>178</v>
      </c>
      <c r="L16" s="58">
        <f>AVERAGE(D2:D26)</f>
        <v>152170.96</v>
      </c>
      <c r="M16" s="30" t="s">
        <v>166</v>
      </c>
      <c r="N16" s="52">
        <v>139</v>
      </c>
      <c r="O16" s="53">
        <f t="shared" si="0"/>
        <v>8.9216944801026959E-2</v>
      </c>
      <c r="P16" s="52"/>
      <c r="Q16" s="30">
        <f t="shared" si="1"/>
        <v>11</v>
      </c>
    </row>
    <row r="17" spans="1:19" ht="15.95" customHeight="1">
      <c r="A17" s="52" t="s">
        <v>2</v>
      </c>
      <c r="B17" s="52"/>
      <c r="C17" s="9">
        <v>22952</v>
      </c>
      <c r="D17" s="57">
        <v>132386</v>
      </c>
      <c r="E17" s="30" t="s">
        <v>190</v>
      </c>
      <c r="F17" s="4" t="s">
        <v>195</v>
      </c>
      <c r="G17" s="4" t="s">
        <v>226</v>
      </c>
      <c r="I17" s="4"/>
      <c r="K17" s="37"/>
      <c r="M17" s="30" t="s">
        <v>167</v>
      </c>
      <c r="N17" s="52">
        <v>43</v>
      </c>
      <c r="O17" s="53">
        <f t="shared" si="0"/>
        <v>2.7599486521181001E-2</v>
      </c>
      <c r="P17" s="52"/>
      <c r="Q17" s="30">
        <f t="shared" si="1"/>
        <v>36</v>
      </c>
    </row>
    <row r="18" spans="1:19" ht="15.95" customHeight="1">
      <c r="A18" s="38" t="s">
        <v>1</v>
      </c>
      <c r="B18" s="52"/>
      <c r="C18" s="9">
        <v>20457</v>
      </c>
      <c r="D18" s="57">
        <v>126753</v>
      </c>
      <c r="E18" s="30" t="s">
        <v>190</v>
      </c>
      <c r="F18" s="4" t="s">
        <v>199</v>
      </c>
      <c r="G18" s="4" t="s">
        <v>225</v>
      </c>
      <c r="H18" s="37" t="s">
        <v>229</v>
      </c>
      <c r="I18" s="4"/>
      <c r="K18" s="37"/>
      <c r="L18" s="27"/>
      <c r="M18" s="30" t="s">
        <v>183</v>
      </c>
      <c r="N18" s="52">
        <v>5</v>
      </c>
      <c r="O18" s="53">
        <f t="shared" si="0"/>
        <v>3.2092426187419771E-3</v>
      </c>
      <c r="P18" s="52"/>
      <c r="Q18" s="52">
        <f t="shared" si="1"/>
        <v>312</v>
      </c>
      <c r="S18" s="4"/>
    </row>
    <row r="19" spans="1:19" ht="15.95" customHeight="1">
      <c r="A19" s="52" t="s">
        <v>12</v>
      </c>
      <c r="B19" s="52"/>
      <c r="C19" s="9">
        <v>25431</v>
      </c>
      <c r="D19" s="57">
        <v>118646</v>
      </c>
      <c r="E19" s="30" t="s">
        <v>194</v>
      </c>
      <c r="F19" s="37"/>
      <c r="G19" s="4" t="s">
        <v>225</v>
      </c>
      <c r="K19" s="37"/>
      <c r="L19" s="27"/>
      <c r="M19" s="30" t="s">
        <v>168</v>
      </c>
      <c r="N19" s="52">
        <v>19</v>
      </c>
      <c r="O19" s="53">
        <f t="shared" si="0"/>
        <v>1.2195121951219513E-2</v>
      </c>
      <c r="P19" s="52"/>
      <c r="Q19" s="30">
        <f t="shared" si="1"/>
        <v>82</v>
      </c>
    </row>
    <row r="20" spans="1:19" ht="15.95" customHeight="1">
      <c r="A20" s="52" t="s">
        <v>8</v>
      </c>
      <c r="B20" s="52"/>
      <c r="C20" s="9">
        <v>20152</v>
      </c>
      <c r="D20" s="57">
        <v>134332</v>
      </c>
      <c r="E20" s="30" t="s">
        <v>194</v>
      </c>
      <c r="F20" s="52"/>
      <c r="G20" s="4" t="s">
        <v>226</v>
      </c>
      <c r="K20" s="37"/>
      <c r="L20" s="27"/>
      <c r="M20" s="30" t="s">
        <v>169</v>
      </c>
      <c r="N20" s="52">
        <v>7</v>
      </c>
      <c r="O20" s="53">
        <f t="shared" si="0"/>
        <v>4.4929396662387678E-3</v>
      </c>
      <c r="P20" s="32">
        <f>SUM(O13:O20)</f>
        <v>0.33247753530166885</v>
      </c>
      <c r="Q20" s="30">
        <f t="shared" si="1"/>
        <v>223</v>
      </c>
    </row>
    <row r="21" spans="1:19" ht="15.95" customHeight="1">
      <c r="A21" s="52" t="s">
        <v>3</v>
      </c>
      <c r="B21" s="52"/>
      <c r="C21" s="9">
        <v>15941</v>
      </c>
      <c r="D21" s="57">
        <v>109009</v>
      </c>
      <c r="E21" s="30" t="s">
        <v>190</v>
      </c>
      <c r="F21" s="52"/>
      <c r="G21" s="4"/>
      <c r="I21" s="4" t="s">
        <v>218</v>
      </c>
      <c r="K21" s="37"/>
      <c r="L21" s="27"/>
      <c r="M21" s="30" t="s">
        <v>188</v>
      </c>
      <c r="N21" s="52">
        <v>7</v>
      </c>
      <c r="O21" s="53">
        <f t="shared" si="0"/>
        <v>4.4929396662387678E-3</v>
      </c>
    </row>
    <row r="22" spans="1:19" ht="15.95" customHeight="1">
      <c r="A22" s="52" t="s">
        <v>19</v>
      </c>
      <c r="B22" s="52"/>
      <c r="C22" s="9">
        <v>19906</v>
      </c>
      <c r="D22" s="57">
        <v>102611</v>
      </c>
      <c r="E22" s="30" t="s">
        <v>190</v>
      </c>
      <c r="F22" s="52"/>
      <c r="G22" s="4"/>
      <c r="H22" s="37" t="s">
        <v>219</v>
      </c>
      <c r="K22" s="37"/>
      <c r="L22" s="59"/>
      <c r="M22" s="4" t="s">
        <v>228</v>
      </c>
      <c r="N22" s="4">
        <v>1</v>
      </c>
      <c r="O22" s="53">
        <f t="shared" si="0"/>
        <v>6.4184852374839533E-4</v>
      </c>
      <c r="P22" s="52"/>
      <c r="Q22" s="52"/>
    </row>
    <row r="23" spans="1:19" ht="15.95" customHeight="1">
      <c r="A23" s="52" t="s">
        <v>4</v>
      </c>
      <c r="B23" s="52"/>
      <c r="C23" s="9">
        <v>19488</v>
      </c>
      <c r="D23" s="57">
        <v>90236</v>
      </c>
      <c r="E23" s="30" t="s">
        <v>197</v>
      </c>
      <c r="F23" s="52"/>
      <c r="G23" s="4" t="s">
        <v>226</v>
      </c>
      <c r="K23" s="37"/>
      <c r="O23" s="31"/>
      <c r="P23" s="4" t="s">
        <v>207</v>
      </c>
      <c r="Q23" s="52"/>
    </row>
    <row r="24" spans="1:19" ht="15.95" customHeight="1">
      <c r="A24" s="52" t="s">
        <v>20</v>
      </c>
      <c r="B24" s="52"/>
      <c r="C24" s="9">
        <v>20996</v>
      </c>
      <c r="D24" s="57">
        <v>86221</v>
      </c>
      <c r="E24" s="30" t="s">
        <v>190</v>
      </c>
      <c r="F24" s="37"/>
      <c r="G24" s="4"/>
      <c r="H24" s="37" t="s">
        <v>220</v>
      </c>
      <c r="J24" s="37" t="s">
        <v>221</v>
      </c>
      <c r="K24" s="52" t="s">
        <v>222</v>
      </c>
      <c r="L24" s="59"/>
      <c r="M24" s="33" t="s">
        <v>189</v>
      </c>
      <c r="N24" s="4">
        <f>SUM(N1:N22)</f>
        <v>1558</v>
      </c>
      <c r="P24" s="4" t="s">
        <v>208</v>
      </c>
    </row>
    <row r="25" spans="1:19" ht="15.95" customHeight="1">
      <c r="A25" s="52" t="s">
        <v>6</v>
      </c>
      <c r="B25" s="52"/>
      <c r="C25" s="9">
        <v>19098</v>
      </c>
      <c r="D25" s="57">
        <v>97360</v>
      </c>
      <c r="E25" s="30" t="s">
        <v>194</v>
      </c>
      <c r="G25" s="52" t="s">
        <v>226</v>
      </c>
      <c r="I25" s="4"/>
      <c r="K25" s="29"/>
      <c r="L25" s="58"/>
      <c r="M25" s="58"/>
      <c r="N25" s="58"/>
      <c r="O25" s="31"/>
      <c r="P25" s="4"/>
    </row>
    <row r="26" spans="1:19" ht="15.95" customHeight="1">
      <c r="A26" s="52" t="s">
        <v>7</v>
      </c>
      <c r="B26" s="52"/>
      <c r="C26" s="9">
        <v>34615</v>
      </c>
      <c r="D26" s="57">
        <v>70834</v>
      </c>
      <c r="E26" s="30" t="s">
        <v>200</v>
      </c>
      <c r="F26" s="4" t="s">
        <v>201</v>
      </c>
      <c r="G26" s="4"/>
      <c r="H26" s="37" t="s">
        <v>223</v>
      </c>
      <c r="I26" s="4"/>
      <c r="K26" s="29"/>
      <c r="L26" s="4" t="s">
        <v>178</v>
      </c>
      <c r="M26" s="33">
        <f>O15*3500+O16*10000+O17*25000+O18*100000</f>
        <v>2484.9165596919129</v>
      </c>
      <c r="N26" s="33"/>
      <c r="O26" s="32"/>
      <c r="P26" s="52" t="s">
        <v>209</v>
      </c>
    </row>
    <row r="27" spans="1:19" ht="15.95" customHeight="1">
      <c r="L27" s="4" t="s">
        <v>112</v>
      </c>
      <c r="M27" s="4">
        <f>O1*125+O6*100+O7*250</f>
        <v>14.104621309370987</v>
      </c>
      <c r="N27" s="4"/>
      <c r="O27" s="49"/>
      <c r="P27" s="4"/>
    </row>
    <row r="28" spans="1:19" ht="15.95" customHeight="1">
      <c r="D28" s="9"/>
      <c r="H28" s="37" t="s">
        <v>224</v>
      </c>
      <c r="L28" s="4" t="s">
        <v>108</v>
      </c>
      <c r="M28" s="4">
        <f>ROUND(125*O2+100*O$6+250*O$7,0)</f>
        <v>22</v>
      </c>
      <c r="N28" s="4"/>
      <c r="O28" s="49"/>
    </row>
    <row r="29" spans="1:19" ht="15.95" customHeight="1">
      <c r="L29" s="4" t="s">
        <v>109</v>
      </c>
      <c r="M29" s="4">
        <f>ROUND(125*O3+100*O$6+250*O$7,0)</f>
        <v>23</v>
      </c>
      <c r="N29" s="4"/>
      <c r="O29" s="49"/>
    </row>
    <row r="30" spans="1:19" ht="15.95" customHeight="1">
      <c r="H30" s="37" t="s">
        <v>230</v>
      </c>
      <c r="I30" s="52" t="s">
        <v>231</v>
      </c>
      <c r="L30" s="4" t="s">
        <v>110</v>
      </c>
      <c r="M30" s="4">
        <f>ROUND(125*O4+100*O$6+250*O$7,0)</f>
        <v>23</v>
      </c>
      <c r="N30" s="4"/>
      <c r="O30" s="49"/>
    </row>
    <row r="31" spans="1:19" ht="15.95" customHeight="1">
      <c r="L31" s="4" t="s">
        <v>111</v>
      </c>
      <c r="M31" s="4">
        <f>ROUND(125*O5+100*O$6+250*O$7,0)</f>
        <v>20</v>
      </c>
      <c r="N31" s="4"/>
    </row>
    <row r="32" spans="1:19" ht="15.95" customHeight="1">
      <c r="L32" s="4" t="s">
        <v>145</v>
      </c>
      <c r="M32" s="4">
        <f>O13*5000+O14*10000</f>
        <v>195.76379974326062</v>
      </c>
      <c r="N32" s="4"/>
    </row>
    <row r="33" spans="12:18" ht="15.95" customHeight="1">
      <c r="L33" s="14"/>
      <c r="M33" s="14"/>
      <c r="N33" s="52" t="s">
        <v>211</v>
      </c>
      <c r="O33" s="52" t="s">
        <v>212</v>
      </c>
      <c r="P33" s="30" t="s">
        <v>213</v>
      </c>
      <c r="Q33" s="52" t="s">
        <v>215</v>
      </c>
      <c r="R33" s="52" t="s">
        <v>217</v>
      </c>
    </row>
    <row r="34" spans="12:18" ht="15.95" customHeight="1">
      <c r="L34" s="14"/>
      <c r="M34" s="14"/>
      <c r="P34" s="30"/>
      <c r="R34" s="24"/>
    </row>
    <row r="35" spans="12:18" ht="15.95" customHeight="1">
      <c r="L35" s="47" t="s">
        <v>15</v>
      </c>
      <c r="M35" s="14"/>
      <c r="N35" s="52" t="s">
        <v>205</v>
      </c>
      <c r="O35" s="52" t="s">
        <v>130</v>
      </c>
      <c r="P35" s="30"/>
      <c r="Q35" s="52"/>
      <c r="R35" s="24"/>
    </row>
    <row r="36" spans="12:18" ht="15.95" customHeight="1">
      <c r="L36" s="38" t="s">
        <v>10</v>
      </c>
      <c r="M36" s="14"/>
      <c r="N36" s="52" t="s">
        <v>205</v>
      </c>
      <c r="P36" s="30"/>
      <c r="R36" s="24"/>
    </row>
    <row r="37" spans="12:18" ht="15.95" customHeight="1">
      <c r="L37" s="34" t="s">
        <v>0</v>
      </c>
      <c r="M37" s="14"/>
      <c r="P37" s="30" t="s">
        <v>214</v>
      </c>
      <c r="R37" s="24"/>
    </row>
    <row r="38" spans="12:18" ht="15.95" customHeight="1">
      <c r="L38" s="52" t="s">
        <v>16</v>
      </c>
      <c r="M38" s="14"/>
      <c r="N38" s="52" t="s">
        <v>205</v>
      </c>
      <c r="O38" s="52" t="s">
        <v>210</v>
      </c>
      <c r="P38" s="30"/>
      <c r="Q38" s="52"/>
      <c r="R38" s="24"/>
    </row>
    <row r="39" spans="12:18" ht="15.95" customHeight="1">
      <c r="L39" s="47" t="s">
        <v>105</v>
      </c>
      <c r="M39" s="14"/>
      <c r="P39" s="52" t="s">
        <v>120</v>
      </c>
      <c r="Q39" s="52" t="s">
        <v>117</v>
      </c>
      <c r="R39" s="24"/>
    </row>
    <row r="40" spans="12:18" ht="15.95" customHeight="1">
      <c r="L40" s="48" t="s">
        <v>9</v>
      </c>
      <c r="M40" s="14"/>
      <c r="P40" s="30" t="s">
        <v>120</v>
      </c>
      <c r="Q40" s="52" t="s">
        <v>117</v>
      </c>
      <c r="R40" s="24"/>
    </row>
    <row r="41" spans="12:18" ht="15.95" customHeight="1">
      <c r="L41" s="26" t="s">
        <v>5</v>
      </c>
      <c r="M41" s="14"/>
      <c r="P41" s="30" t="s">
        <v>120</v>
      </c>
      <c r="Q41" s="52" t="s">
        <v>117</v>
      </c>
      <c r="R41" s="24"/>
    </row>
    <row r="42" spans="12:18" ht="15.95" customHeight="1">
      <c r="L42" s="47" t="s">
        <v>107</v>
      </c>
      <c r="M42" s="14"/>
      <c r="N42" s="52" t="s">
        <v>206</v>
      </c>
      <c r="P42" s="30" t="s">
        <v>120</v>
      </c>
      <c r="R42" s="24"/>
    </row>
    <row r="43" spans="12:18" ht="15.95" customHeight="1">
      <c r="L43" s="38" t="s">
        <v>11</v>
      </c>
      <c r="M43" s="14"/>
      <c r="N43" s="52" t="s">
        <v>216</v>
      </c>
      <c r="P43" s="30" t="s">
        <v>134</v>
      </c>
      <c r="R43" s="24"/>
    </row>
    <row r="44" spans="12:18" ht="15.95" customHeight="1">
      <c r="L44" s="52" t="s">
        <v>13</v>
      </c>
      <c r="M44" s="14"/>
      <c r="P44" s="30" t="s">
        <v>120</v>
      </c>
      <c r="R44" s="24"/>
    </row>
    <row r="45" spans="12:18" ht="15.95" customHeight="1">
      <c r="L45" s="47" t="s">
        <v>17</v>
      </c>
      <c r="M45" s="14"/>
      <c r="P45" s="30" t="s">
        <v>120</v>
      </c>
      <c r="Q45" s="52" t="s">
        <v>117</v>
      </c>
      <c r="R45" s="24"/>
    </row>
    <row r="46" spans="12:18" ht="15.95" customHeight="1">
      <c r="L46" s="52" t="s">
        <v>2</v>
      </c>
      <c r="M46" s="14"/>
      <c r="P46" s="30" t="s">
        <v>120</v>
      </c>
      <c r="R46" s="24"/>
    </row>
    <row r="47" spans="12:18" ht="15.95" customHeight="1">
      <c r="L47" s="52" t="s">
        <v>106</v>
      </c>
      <c r="M47" s="14"/>
      <c r="P47" s="30" t="s">
        <v>120</v>
      </c>
      <c r="R47" s="37" t="s">
        <v>131</v>
      </c>
    </row>
    <row r="48" spans="12:18" ht="15.95" customHeight="1">
      <c r="L48" s="47" t="s">
        <v>14</v>
      </c>
      <c r="M48" s="14"/>
      <c r="P48" s="30" t="s">
        <v>120</v>
      </c>
      <c r="Q48" s="52" t="s">
        <v>117</v>
      </c>
      <c r="R48" s="24"/>
    </row>
    <row r="49" spans="12:18" ht="15.95" customHeight="1">
      <c r="L49" s="52" t="s">
        <v>18</v>
      </c>
      <c r="M49" s="14"/>
      <c r="N49" s="52" t="s">
        <v>205</v>
      </c>
      <c r="P49" s="30"/>
      <c r="R49" s="24"/>
    </row>
    <row r="50" spans="12:18" ht="15.95" customHeight="1">
      <c r="L50" s="52">
        <v>799169</v>
      </c>
      <c r="M50" s="14"/>
      <c r="P50" s="30"/>
      <c r="Q50" s="52" t="s">
        <v>121</v>
      </c>
      <c r="R50" s="37" t="s">
        <v>131</v>
      </c>
    </row>
    <row r="51" spans="12:18" ht="15.95" customHeight="1">
      <c r="L51" s="52" t="s">
        <v>12</v>
      </c>
      <c r="M51" s="14"/>
      <c r="P51" s="30" t="s">
        <v>121</v>
      </c>
      <c r="Q51" s="52" t="s">
        <v>117</v>
      </c>
      <c r="R51" s="24"/>
    </row>
    <row r="52" spans="12:18" ht="15.95" customHeight="1">
      <c r="L52" s="52" t="s">
        <v>3</v>
      </c>
      <c r="M52" s="14"/>
      <c r="N52" s="52" t="s">
        <v>203</v>
      </c>
      <c r="P52" s="30" t="s">
        <v>120</v>
      </c>
      <c r="Q52" s="52" t="s">
        <v>117</v>
      </c>
      <c r="R52" s="24"/>
    </row>
    <row r="53" spans="12:18" ht="15.95" customHeight="1">
      <c r="L53" s="38" t="s">
        <v>1</v>
      </c>
      <c r="M53" s="14"/>
      <c r="O53" s="52" t="s">
        <v>130</v>
      </c>
      <c r="P53" s="30" t="s">
        <v>120</v>
      </c>
      <c r="R53" s="37" t="s">
        <v>131</v>
      </c>
    </row>
    <row r="54" spans="12:18" ht="15.95" customHeight="1">
      <c r="L54" s="52" t="s">
        <v>8</v>
      </c>
      <c r="M54" s="14"/>
      <c r="P54" s="30" t="s">
        <v>120</v>
      </c>
      <c r="Q54" s="52" t="s">
        <v>117</v>
      </c>
      <c r="R54" s="24"/>
    </row>
    <row r="55" spans="12:18" ht="15.95" customHeight="1">
      <c r="L55" s="52" t="s">
        <v>4</v>
      </c>
      <c r="M55" s="14"/>
      <c r="N55" s="52" t="s">
        <v>205</v>
      </c>
      <c r="P55" s="30"/>
      <c r="R55" s="24"/>
    </row>
    <row r="56" spans="12:18" ht="15.95" customHeight="1">
      <c r="L56" s="52" t="s">
        <v>6</v>
      </c>
      <c r="M56" s="14"/>
      <c r="P56" s="30" t="s">
        <v>120</v>
      </c>
      <c r="Q56" s="52" t="s">
        <v>117</v>
      </c>
      <c r="R56" s="24"/>
    </row>
    <row r="57" spans="12:18" ht="15.95" customHeight="1">
      <c r="L57" s="52" t="s">
        <v>20</v>
      </c>
      <c r="M57" s="14"/>
      <c r="N57" s="52" t="s">
        <v>205</v>
      </c>
      <c r="P57" s="30"/>
      <c r="R57" s="24"/>
    </row>
    <row r="58" spans="12:18" ht="15.95" customHeight="1">
      <c r="L58" s="52" t="s">
        <v>19</v>
      </c>
      <c r="M58" s="14"/>
      <c r="N58" s="52" t="s">
        <v>204</v>
      </c>
      <c r="P58" s="30" t="s">
        <v>120</v>
      </c>
      <c r="R58" s="24"/>
    </row>
    <row r="59" spans="12:18" ht="15.95" customHeight="1">
      <c r="L59" s="52" t="s">
        <v>7</v>
      </c>
      <c r="M59" s="14"/>
      <c r="P59" s="30" t="s">
        <v>120</v>
      </c>
      <c r="R59" s="24"/>
    </row>
  </sheetData>
  <sortState ref="A2:G59">
    <sortCondition descending="1" ref="D1"/>
  </sortState>
  <pageMargins left="0.7" right="0.7" top="0.75" bottom="0.75" header="0.3" footer="0.3"/>
  <pageSetup paperSize="9" scale="74" fitToHeight="8" orientation="landscape" verticalDpi="0" r:id="rId1"/>
  <legacyDrawing r:id="rId2"/>
  <controls>
    <control shapeId="6156" r:id="rId3" name="CheckBox1"/>
    <control shapeId="6157" r:id="rId4" name="CheckBox2"/>
    <control shapeId="6158" r:id="rId5" name="CheckBox3"/>
    <control shapeId="6159" r:id="rId6" name="CheckBox4"/>
    <control shapeId="6160" r:id="rId7" name="CheckBox5"/>
    <control shapeId="6161" r:id="rId8" name="CheckBox6"/>
    <control shapeId="6162" r:id="rId9" name="CheckBox7"/>
    <control shapeId="6163" r:id="rId10" name="CheckBox8"/>
    <control shapeId="6164" r:id="rId11" name="CheckBox9"/>
    <control shapeId="6165" r:id="rId12" name="CheckBox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U32"/>
  <sheetViews>
    <sheetView topLeftCell="A7" workbookViewId="0">
      <selection activeCell="N10" sqref="N10"/>
    </sheetView>
  </sheetViews>
  <sheetFormatPr defaultRowHeight="15.95" customHeight="1"/>
  <cols>
    <col min="1" max="1" width="12.7109375" style="29" bestFit="1" customWidth="1"/>
    <col min="2" max="2" width="7.42578125" style="29" customWidth="1"/>
    <col min="3" max="3" width="8.7109375" style="4" customWidth="1"/>
    <col min="4" max="4" width="9.42578125" style="56" bestFit="1" customWidth="1"/>
    <col min="5" max="9" width="6.7109375" style="4" customWidth="1"/>
    <col min="10" max="10" width="4.7109375" style="4" customWidth="1"/>
    <col min="11" max="11" width="6.7109375" style="4" customWidth="1"/>
    <col min="12" max="12" width="11.85546875" style="29" customWidth="1"/>
    <col min="13" max="13" width="10.140625" style="47" bestFit="1" customWidth="1"/>
    <col min="14" max="14" width="9.140625" style="29" customWidth="1"/>
    <col min="15" max="15" width="12" style="29" bestFit="1" customWidth="1"/>
    <col min="16" max="16" width="10.5703125" style="29" bestFit="1" customWidth="1"/>
    <col min="17" max="17" width="11.5703125" style="32" bestFit="1" customWidth="1"/>
    <col min="18" max="18" width="8.28515625" style="29" customWidth="1"/>
    <col min="19" max="20" width="9.140625" style="29"/>
    <col min="21" max="21" width="9.140625" style="37"/>
    <col min="22" max="16384" width="9.140625" style="29"/>
  </cols>
  <sheetData>
    <row r="1" spans="1:20" ht="15.95" customHeight="1">
      <c r="A1" s="34" t="s">
        <v>0</v>
      </c>
      <c r="C1" s="52">
        <v>15188</v>
      </c>
      <c r="D1" s="56">
        <v>212983</v>
      </c>
      <c r="E1" s="4">
        <v>488</v>
      </c>
      <c r="F1" s="4">
        <v>807</v>
      </c>
      <c r="G1" s="4">
        <v>579</v>
      </c>
      <c r="H1" s="4">
        <v>419</v>
      </c>
      <c r="I1" s="4">
        <v>454</v>
      </c>
      <c r="J1" s="4">
        <v>0</v>
      </c>
      <c r="K1" s="4">
        <v>54</v>
      </c>
      <c r="L1" s="52" t="s">
        <v>187</v>
      </c>
      <c r="N1" s="52"/>
      <c r="O1" s="30" t="s">
        <v>160</v>
      </c>
      <c r="P1" s="29">
        <v>51</v>
      </c>
      <c r="Q1" s="53">
        <f t="shared" ref="Q1:Q14" si="0">P1/$P$21</f>
        <v>4.3441226575809198E-2</v>
      </c>
      <c r="T1" s="30">
        <f t="shared" ref="T1:T12" si="1">ROUND(1/Q1,0)</f>
        <v>23</v>
      </c>
    </row>
    <row r="2" spans="1:20" ht="15.95" customHeight="1">
      <c r="A2" s="38" t="s">
        <v>1</v>
      </c>
      <c r="C2" s="52">
        <v>20457</v>
      </c>
      <c r="D2" s="56">
        <v>139000</v>
      </c>
      <c r="E2" s="4">
        <v>125</v>
      </c>
      <c r="F2" s="4">
        <v>420</v>
      </c>
      <c r="G2" s="4">
        <v>180</v>
      </c>
      <c r="H2" s="4">
        <v>229</v>
      </c>
      <c r="I2" s="4">
        <v>181</v>
      </c>
      <c r="J2" s="4">
        <v>0</v>
      </c>
      <c r="K2" s="4">
        <v>155</v>
      </c>
      <c r="L2" s="52"/>
      <c r="O2" s="30" t="s">
        <v>161</v>
      </c>
      <c r="P2" s="29">
        <v>129</v>
      </c>
      <c r="Q2" s="53">
        <f t="shared" si="0"/>
        <v>0.10988074957410562</v>
      </c>
      <c r="T2" s="30">
        <f t="shared" si="1"/>
        <v>9</v>
      </c>
    </row>
    <row r="3" spans="1:20" ht="15.95" customHeight="1">
      <c r="A3" s="1" t="s">
        <v>2</v>
      </c>
      <c r="C3" s="52">
        <v>22952</v>
      </c>
      <c r="D3" s="56">
        <v>95141</v>
      </c>
      <c r="E3" s="4">
        <v>526</v>
      </c>
      <c r="F3" s="4">
        <v>948</v>
      </c>
      <c r="G3" s="4">
        <v>836</v>
      </c>
      <c r="H3" s="4">
        <v>736</v>
      </c>
      <c r="I3" s="4">
        <v>834</v>
      </c>
      <c r="J3" s="4">
        <v>0</v>
      </c>
      <c r="K3" s="4">
        <v>55</v>
      </c>
      <c r="L3" s="30"/>
      <c r="M3" s="50"/>
      <c r="O3" s="30" t="s">
        <v>162</v>
      </c>
      <c r="P3" s="29">
        <v>136</v>
      </c>
      <c r="Q3" s="53">
        <f t="shared" si="0"/>
        <v>0.11584327086882454</v>
      </c>
      <c r="T3" s="30">
        <f t="shared" si="1"/>
        <v>9</v>
      </c>
    </row>
    <row r="4" spans="1:20" ht="15.95" customHeight="1">
      <c r="A4" s="38" t="s">
        <v>3</v>
      </c>
      <c r="C4" s="52">
        <v>15941</v>
      </c>
      <c r="D4" s="56">
        <v>80000</v>
      </c>
      <c r="E4" s="4">
        <v>274</v>
      </c>
      <c r="F4" s="4">
        <v>188</v>
      </c>
      <c r="G4" s="4">
        <v>694</v>
      </c>
      <c r="H4" s="4">
        <v>225</v>
      </c>
      <c r="I4" s="4">
        <v>320</v>
      </c>
      <c r="J4" s="4">
        <v>0</v>
      </c>
      <c r="K4" s="4">
        <v>105</v>
      </c>
      <c r="L4" s="38"/>
      <c r="M4" s="50"/>
      <c r="O4" s="30" t="s">
        <v>163</v>
      </c>
      <c r="P4" s="29">
        <v>128</v>
      </c>
      <c r="Q4" s="53">
        <f t="shared" si="0"/>
        <v>0.10902896081771721</v>
      </c>
      <c r="T4" s="30">
        <f t="shared" si="1"/>
        <v>9</v>
      </c>
    </row>
    <row r="5" spans="1:20" ht="15.95" customHeight="1">
      <c r="A5" s="38" t="s">
        <v>11</v>
      </c>
      <c r="C5" s="52">
        <v>15721</v>
      </c>
      <c r="D5" s="56">
        <v>110116</v>
      </c>
      <c r="E5" s="4">
        <v>280</v>
      </c>
      <c r="F5" s="4">
        <v>233</v>
      </c>
      <c r="G5" s="4">
        <v>463</v>
      </c>
      <c r="H5" s="4">
        <v>530</v>
      </c>
      <c r="I5" s="4">
        <v>239</v>
      </c>
      <c r="J5" s="4">
        <v>0</v>
      </c>
      <c r="K5" s="4">
        <v>12</v>
      </c>
      <c r="L5" s="41"/>
      <c r="M5" s="50"/>
      <c r="O5" s="30" t="s">
        <v>164</v>
      </c>
      <c r="P5" s="29">
        <v>113</v>
      </c>
      <c r="Q5" s="53">
        <f t="shared" si="0"/>
        <v>9.6252129471890976E-2</v>
      </c>
      <c r="T5" s="30">
        <f t="shared" si="1"/>
        <v>10</v>
      </c>
    </row>
    <row r="6" spans="1:20" ht="15.95" customHeight="1">
      <c r="A6" s="1" t="s">
        <v>4</v>
      </c>
      <c r="C6" s="52">
        <v>19488</v>
      </c>
      <c r="D6" s="56">
        <v>66815</v>
      </c>
      <c r="E6" s="4">
        <v>118</v>
      </c>
      <c r="F6" s="4">
        <v>886</v>
      </c>
      <c r="G6" s="4">
        <v>148</v>
      </c>
      <c r="H6" s="4">
        <v>299</v>
      </c>
      <c r="I6" s="4">
        <v>649</v>
      </c>
      <c r="J6" s="4">
        <v>10</v>
      </c>
      <c r="K6" s="4">
        <v>156</v>
      </c>
      <c r="L6" s="30"/>
      <c r="M6" s="50"/>
      <c r="O6" s="30" t="s">
        <v>172</v>
      </c>
      <c r="P6" s="29">
        <v>39</v>
      </c>
      <c r="Q6" s="53">
        <f t="shared" si="0"/>
        <v>3.3219761499148209E-2</v>
      </c>
      <c r="T6" s="30">
        <f t="shared" si="1"/>
        <v>30</v>
      </c>
    </row>
    <row r="7" spans="1:20" ht="15.95" customHeight="1">
      <c r="A7" s="1">
        <v>799169</v>
      </c>
      <c r="C7" s="52">
        <v>35051</v>
      </c>
      <c r="D7" s="51">
        <v>105352</v>
      </c>
      <c r="E7" s="4">
        <v>168</v>
      </c>
      <c r="F7" s="4">
        <v>775</v>
      </c>
      <c r="G7" s="4">
        <v>225</v>
      </c>
      <c r="H7" s="4">
        <v>410</v>
      </c>
      <c r="I7" s="4">
        <v>165</v>
      </c>
      <c r="J7" s="4">
        <v>10</v>
      </c>
      <c r="K7" s="4">
        <v>67</v>
      </c>
      <c r="L7" s="52" t="s">
        <v>185</v>
      </c>
      <c r="M7" s="52" t="s">
        <v>152</v>
      </c>
      <c r="O7" s="30" t="s">
        <v>173</v>
      </c>
      <c r="P7" s="29">
        <v>23</v>
      </c>
      <c r="Q7" s="53">
        <f t="shared" si="0"/>
        <v>1.9591141396933562E-2</v>
      </c>
      <c r="T7" s="30">
        <f t="shared" si="1"/>
        <v>51</v>
      </c>
    </row>
    <row r="8" spans="1:20" ht="15.95" customHeight="1">
      <c r="A8" s="47" t="s">
        <v>6</v>
      </c>
      <c r="C8" s="52">
        <v>19098</v>
      </c>
      <c r="D8" s="51">
        <v>56441</v>
      </c>
      <c r="E8" s="4">
        <v>717</v>
      </c>
      <c r="F8" s="4">
        <v>620</v>
      </c>
      <c r="G8" s="4">
        <v>634</v>
      </c>
      <c r="H8" s="4">
        <v>900</v>
      </c>
      <c r="I8" s="4">
        <v>1009</v>
      </c>
      <c r="J8" s="4">
        <v>10</v>
      </c>
      <c r="K8" s="4">
        <v>56</v>
      </c>
      <c r="L8" s="52"/>
      <c r="M8" s="50"/>
      <c r="O8" s="30" t="s">
        <v>174</v>
      </c>
      <c r="P8" s="29">
        <v>74</v>
      </c>
      <c r="Q8" s="53">
        <f t="shared" si="0"/>
        <v>6.3032367972742753E-2</v>
      </c>
      <c r="T8" s="30">
        <f t="shared" si="1"/>
        <v>16</v>
      </c>
    </row>
    <row r="9" spans="1:20" ht="15.95" customHeight="1">
      <c r="A9" s="26" t="s">
        <v>5</v>
      </c>
      <c r="C9" s="52">
        <v>19408</v>
      </c>
      <c r="D9" s="56">
        <v>152438</v>
      </c>
      <c r="E9" s="4">
        <v>277</v>
      </c>
      <c r="F9" s="4">
        <v>389</v>
      </c>
      <c r="G9" s="4">
        <v>654</v>
      </c>
      <c r="H9" s="4">
        <v>684</v>
      </c>
      <c r="I9" s="4">
        <v>527</v>
      </c>
      <c r="J9" s="4">
        <v>15</v>
      </c>
      <c r="K9" s="4">
        <v>6</v>
      </c>
      <c r="L9" s="52"/>
      <c r="M9" s="50"/>
      <c r="O9" s="30" t="s">
        <v>175</v>
      </c>
      <c r="P9" s="29">
        <v>14</v>
      </c>
      <c r="Q9" s="53">
        <f t="shared" si="0"/>
        <v>1.192504258943782E-2</v>
      </c>
      <c r="R9" s="32">
        <f>SUM(Q1:Q9)</f>
        <v>0.60221465076660985</v>
      </c>
      <c r="T9" s="30">
        <f t="shared" si="1"/>
        <v>84</v>
      </c>
    </row>
    <row r="10" spans="1:20" ht="15.95" customHeight="1">
      <c r="A10" s="48" t="s">
        <v>9</v>
      </c>
      <c r="C10" s="52">
        <v>22179</v>
      </c>
      <c r="D10" s="56">
        <v>132206</v>
      </c>
      <c r="E10" s="4">
        <v>461</v>
      </c>
      <c r="F10" s="4">
        <v>989</v>
      </c>
      <c r="G10" s="4">
        <v>625</v>
      </c>
      <c r="H10" s="4">
        <v>654</v>
      </c>
      <c r="I10" s="4">
        <v>624</v>
      </c>
      <c r="J10" s="4">
        <v>30</v>
      </c>
      <c r="K10" s="4">
        <v>4</v>
      </c>
      <c r="L10" s="50"/>
      <c r="N10" s="52" t="s">
        <v>67</v>
      </c>
      <c r="O10" s="30" t="s">
        <v>176</v>
      </c>
      <c r="P10" s="29">
        <v>62</v>
      </c>
      <c r="Q10" s="53">
        <f t="shared" si="0"/>
        <v>5.2810902896081771E-2</v>
      </c>
      <c r="T10" s="30">
        <f t="shared" si="1"/>
        <v>19</v>
      </c>
    </row>
    <row r="11" spans="1:20" ht="15.95" customHeight="1">
      <c r="A11" s="38" t="s">
        <v>10</v>
      </c>
      <c r="C11" s="52">
        <v>18590</v>
      </c>
      <c r="D11" s="56">
        <v>113900</v>
      </c>
      <c r="E11" s="4">
        <v>516</v>
      </c>
      <c r="F11" s="4">
        <v>441</v>
      </c>
      <c r="G11" s="4">
        <v>831</v>
      </c>
      <c r="H11" s="4">
        <v>596</v>
      </c>
      <c r="I11" s="4">
        <v>453</v>
      </c>
      <c r="J11" s="4">
        <v>10</v>
      </c>
      <c r="K11" s="4">
        <v>4</v>
      </c>
      <c r="L11" s="38" t="s">
        <v>184</v>
      </c>
      <c r="M11" s="50"/>
      <c r="O11" s="30" t="s">
        <v>177</v>
      </c>
      <c r="P11" s="29">
        <v>16</v>
      </c>
      <c r="Q11" s="53">
        <f t="shared" si="0"/>
        <v>1.3628620102214651E-2</v>
      </c>
      <c r="R11" s="32">
        <f>SUM(Q10:Q11)</f>
        <v>6.6439522998296419E-2</v>
      </c>
      <c r="T11" s="30">
        <f t="shared" si="1"/>
        <v>73</v>
      </c>
    </row>
    <row r="12" spans="1:20" ht="15.95" customHeight="1">
      <c r="A12" s="1" t="s">
        <v>7</v>
      </c>
      <c r="C12" s="52">
        <v>34615</v>
      </c>
      <c r="D12" s="51">
        <v>30819</v>
      </c>
      <c r="E12" s="4">
        <v>483</v>
      </c>
      <c r="F12" s="4">
        <v>509</v>
      </c>
      <c r="G12" s="4">
        <v>149</v>
      </c>
      <c r="H12" s="4">
        <v>539</v>
      </c>
      <c r="I12" s="4">
        <v>647</v>
      </c>
      <c r="J12" s="4">
        <v>30</v>
      </c>
      <c r="K12" s="4">
        <v>56</v>
      </c>
      <c r="L12" s="38"/>
      <c r="M12" s="50"/>
      <c r="O12" s="45" t="s">
        <v>182</v>
      </c>
      <c r="P12" s="29">
        <v>6</v>
      </c>
      <c r="Q12" s="54">
        <f t="shared" si="0"/>
        <v>5.1107325383304937E-3</v>
      </c>
      <c r="T12" s="29">
        <f t="shared" si="1"/>
        <v>196</v>
      </c>
    </row>
    <row r="13" spans="1:20" ht="15.95" customHeight="1">
      <c r="A13" s="47" t="s">
        <v>8</v>
      </c>
      <c r="C13" s="52">
        <v>17762</v>
      </c>
      <c r="D13" s="51">
        <v>52084</v>
      </c>
      <c r="E13" s="4">
        <v>582</v>
      </c>
      <c r="F13" s="4">
        <v>855</v>
      </c>
      <c r="G13" s="4">
        <v>499</v>
      </c>
      <c r="H13" s="4">
        <v>751</v>
      </c>
      <c r="I13" s="4">
        <v>872</v>
      </c>
      <c r="J13" s="4">
        <v>0</v>
      </c>
      <c r="K13" s="4">
        <v>54</v>
      </c>
      <c r="L13" s="38" t="s">
        <v>184</v>
      </c>
      <c r="M13" s="50"/>
      <c r="O13" s="30" t="s">
        <v>170</v>
      </c>
      <c r="P13" s="29">
        <v>25</v>
      </c>
      <c r="Q13" s="53">
        <f t="shared" si="0"/>
        <v>2.1294718909710391E-2</v>
      </c>
      <c r="T13" s="30">
        <f t="shared" ref="T13:T14" si="2">ROUND(1/Q13,0)</f>
        <v>47</v>
      </c>
    </row>
    <row r="14" spans="1:20" ht="15.95" customHeight="1">
      <c r="A14" s="1" t="s">
        <v>12</v>
      </c>
      <c r="C14" s="52">
        <v>25431</v>
      </c>
      <c r="D14" s="51">
        <v>95302</v>
      </c>
      <c r="E14" s="4">
        <v>257</v>
      </c>
      <c r="F14" s="4">
        <v>669</v>
      </c>
      <c r="G14" s="4">
        <v>598</v>
      </c>
      <c r="H14" s="4">
        <v>123</v>
      </c>
      <c r="I14" s="4">
        <v>205</v>
      </c>
      <c r="J14" s="4">
        <v>5</v>
      </c>
      <c r="K14" s="4">
        <v>14</v>
      </c>
      <c r="L14" s="38"/>
      <c r="O14" s="30" t="s">
        <v>171</v>
      </c>
      <c r="P14" s="29">
        <v>10</v>
      </c>
      <c r="Q14" s="53">
        <f t="shared" si="0"/>
        <v>8.5178875638841564E-3</v>
      </c>
      <c r="R14" s="32">
        <f>SUM(Q13:Q14)</f>
        <v>2.9812606473594547E-2</v>
      </c>
      <c r="T14" s="30">
        <f t="shared" si="2"/>
        <v>117</v>
      </c>
    </row>
    <row r="15" spans="1:20" ht="15.95" customHeight="1">
      <c r="A15" s="1" t="s">
        <v>13</v>
      </c>
      <c r="C15" s="52">
        <v>32198</v>
      </c>
      <c r="D15" s="51">
        <v>98515</v>
      </c>
      <c r="E15" s="4">
        <v>380</v>
      </c>
      <c r="F15" s="4">
        <v>431</v>
      </c>
      <c r="G15" s="4">
        <v>427</v>
      </c>
      <c r="H15" s="4">
        <v>357</v>
      </c>
      <c r="I15" s="4">
        <v>201</v>
      </c>
      <c r="J15" s="4">
        <v>10</v>
      </c>
      <c r="K15" s="4">
        <v>8</v>
      </c>
      <c r="L15" s="38" t="s">
        <v>185</v>
      </c>
      <c r="M15" s="50"/>
      <c r="O15" s="30" t="s">
        <v>165</v>
      </c>
      <c r="P15" s="29">
        <v>179</v>
      </c>
      <c r="Q15" s="53">
        <f t="shared" ref="Q15:Q20" si="3">P15/$P$21</f>
        <v>0.15247018739352641</v>
      </c>
      <c r="T15" s="30">
        <f t="shared" ref="T15:T20" si="4">ROUND(1/Q15,0)</f>
        <v>7</v>
      </c>
    </row>
    <row r="16" spans="1:20" ht="15.95" customHeight="1">
      <c r="A16" s="47" t="s">
        <v>14</v>
      </c>
      <c r="C16" s="52">
        <v>17096</v>
      </c>
      <c r="D16" s="56">
        <v>143699</v>
      </c>
      <c r="E16" s="4">
        <v>293</v>
      </c>
      <c r="F16" s="4">
        <v>126</v>
      </c>
      <c r="G16" s="4">
        <v>133</v>
      </c>
      <c r="H16" s="4">
        <v>276</v>
      </c>
      <c r="I16" s="4">
        <v>384</v>
      </c>
      <c r="J16" s="4">
        <v>25</v>
      </c>
      <c r="K16" s="4">
        <v>154</v>
      </c>
      <c r="L16" s="38"/>
      <c r="M16" s="50"/>
      <c r="O16" s="30" t="s">
        <v>166</v>
      </c>
      <c r="P16" s="29">
        <v>108</v>
      </c>
      <c r="Q16" s="53">
        <f t="shared" si="3"/>
        <v>9.1993185689948895E-2</v>
      </c>
      <c r="T16" s="30">
        <f t="shared" si="4"/>
        <v>11</v>
      </c>
    </row>
    <row r="17" spans="1:20" ht="15.95" customHeight="1">
      <c r="A17" s="47" t="s">
        <v>15</v>
      </c>
      <c r="C17" s="52">
        <v>31305</v>
      </c>
      <c r="D17" s="56">
        <v>220755</v>
      </c>
      <c r="E17" s="4">
        <v>232</v>
      </c>
      <c r="F17" s="4">
        <v>378</v>
      </c>
      <c r="G17" s="4">
        <v>268</v>
      </c>
      <c r="H17" s="4">
        <v>283</v>
      </c>
      <c r="I17" s="4">
        <v>513</v>
      </c>
      <c r="J17" s="4">
        <v>20</v>
      </c>
      <c r="K17" s="4">
        <v>54</v>
      </c>
      <c r="L17" s="52"/>
      <c r="M17" s="55" t="s">
        <v>150</v>
      </c>
      <c r="N17" s="37"/>
      <c r="O17" s="30" t="s">
        <v>167</v>
      </c>
      <c r="P17" s="29">
        <v>34</v>
      </c>
      <c r="Q17" s="53">
        <f t="shared" si="3"/>
        <v>2.8960817717206135E-2</v>
      </c>
      <c r="T17" s="30">
        <f t="shared" si="4"/>
        <v>35</v>
      </c>
    </row>
    <row r="18" spans="1:20" ht="15.95" customHeight="1">
      <c r="A18" s="1" t="s">
        <v>16</v>
      </c>
      <c r="C18" s="52">
        <v>27792</v>
      </c>
      <c r="D18" s="51">
        <v>92024</v>
      </c>
      <c r="E18" s="4">
        <v>265</v>
      </c>
      <c r="F18" s="4">
        <v>285</v>
      </c>
      <c r="G18" s="4">
        <v>412</v>
      </c>
      <c r="H18" s="4">
        <v>464</v>
      </c>
      <c r="I18" s="4">
        <v>183</v>
      </c>
      <c r="J18" s="4">
        <v>10</v>
      </c>
      <c r="K18" s="4">
        <v>59</v>
      </c>
      <c r="L18" s="52" t="s">
        <v>185</v>
      </c>
      <c r="M18" s="52"/>
      <c r="O18" s="30" t="s">
        <v>183</v>
      </c>
      <c r="P18" s="29">
        <v>3</v>
      </c>
      <c r="Q18" s="54">
        <f t="shared" si="3"/>
        <v>2.5553662691652468E-3</v>
      </c>
      <c r="T18" s="29">
        <f t="shared" si="4"/>
        <v>391</v>
      </c>
    </row>
    <row r="19" spans="1:20" ht="15.95" customHeight="1">
      <c r="A19" s="47" t="s">
        <v>17</v>
      </c>
      <c r="C19" s="52">
        <v>16589</v>
      </c>
      <c r="D19" s="56">
        <v>144775</v>
      </c>
      <c r="E19" s="4">
        <v>231</v>
      </c>
      <c r="F19" s="4">
        <v>498</v>
      </c>
      <c r="G19" s="4">
        <v>382</v>
      </c>
      <c r="H19" s="4">
        <v>646</v>
      </c>
      <c r="I19" s="4">
        <v>253</v>
      </c>
      <c r="J19" s="4">
        <v>10</v>
      </c>
      <c r="K19" s="4">
        <v>4</v>
      </c>
      <c r="L19" s="38"/>
      <c r="M19" s="50"/>
      <c r="O19" s="30" t="s">
        <v>168</v>
      </c>
      <c r="P19" s="29">
        <v>18</v>
      </c>
      <c r="Q19" s="53">
        <f t="shared" si="3"/>
        <v>1.5332197614991482E-2</v>
      </c>
      <c r="T19" s="30">
        <f t="shared" si="4"/>
        <v>65</v>
      </c>
    </row>
    <row r="20" spans="1:20" ht="15.95" customHeight="1">
      <c r="A20" s="47" t="s">
        <v>18</v>
      </c>
      <c r="C20" s="52">
        <v>15891</v>
      </c>
      <c r="D20" s="51">
        <v>89038</v>
      </c>
      <c r="E20" s="4">
        <v>758</v>
      </c>
      <c r="F20" s="4">
        <v>659</v>
      </c>
      <c r="G20" s="4">
        <v>414</v>
      </c>
      <c r="H20" s="4">
        <v>443</v>
      </c>
      <c r="I20" s="4">
        <v>538</v>
      </c>
      <c r="J20" s="4">
        <v>20</v>
      </c>
      <c r="K20" s="4">
        <v>4</v>
      </c>
      <c r="L20" s="52" t="s">
        <v>184</v>
      </c>
      <c r="O20" s="30" t="s">
        <v>169</v>
      </c>
      <c r="P20" s="29">
        <v>6</v>
      </c>
      <c r="Q20" s="53">
        <f t="shared" si="3"/>
        <v>5.1107325383304937E-3</v>
      </c>
      <c r="R20" s="32">
        <f>SUM(Q13:Q20)</f>
        <v>0.32623509369676323</v>
      </c>
      <c r="S20" s="30">
        <f>1-(1-R20)^4</f>
        <v>0.79392109107023812</v>
      </c>
      <c r="T20" s="30">
        <f t="shared" si="4"/>
        <v>196</v>
      </c>
    </row>
    <row r="21" spans="1:20" ht="15.95" customHeight="1">
      <c r="A21" s="47" t="s">
        <v>19</v>
      </c>
      <c r="C21" s="52">
        <v>19906</v>
      </c>
      <c r="D21" s="51">
        <v>79929</v>
      </c>
      <c r="E21" s="4">
        <v>713</v>
      </c>
      <c r="F21" s="4">
        <v>605</v>
      </c>
      <c r="G21" s="4">
        <v>858</v>
      </c>
      <c r="H21" s="4">
        <v>792</v>
      </c>
      <c r="I21" s="4">
        <v>739</v>
      </c>
      <c r="J21" s="4">
        <v>5</v>
      </c>
      <c r="K21" s="4">
        <v>59</v>
      </c>
      <c r="L21" s="52" t="s">
        <v>184</v>
      </c>
      <c r="M21" s="50"/>
      <c r="O21" s="30"/>
      <c r="P21" s="29">
        <f>SUM(P1:P20)</f>
        <v>1174</v>
      </c>
      <c r="Q21" s="31"/>
      <c r="S21" s="30"/>
    </row>
    <row r="22" spans="1:20" ht="15.95" customHeight="1">
      <c r="A22" s="1" t="s">
        <v>20</v>
      </c>
      <c r="C22" s="52">
        <v>20996</v>
      </c>
      <c r="D22" s="51">
        <v>61892</v>
      </c>
      <c r="E22" s="4">
        <v>278</v>
      </c>
      <c r="F22" s="4">
        <v>440</v>
      </c>
      <c r="G22" s="4">
        <v>457</v>
      </c>
      <c r="H22" s="4">
        <v>144</v>
      </c>
      <c r="I22" s="4">
        <v>351</v>
      </c>
      <c r="J22" s="4">
        <v>0</v>
      </c>
      <c r="K22" s="4">
        <v>11</v>
      </c>
      <c r="L22" s="52" t="s">
        <v>184</v>
      </c>
      <c r="O22" s="52" t="s">
        <v>186</v>
      </c>
      <c r="P22" s="29">
        <v>2</v>
      </c>
    </row>
    <row r="23" spans="1:20" ht="15.95" customHeight="1">
      <c r="A23" s="47" t="s">
        <v>105</v>
      </c>
      <c r="C23" s="52">
        <v>20564</v>
      </c>
      <c r="D23" s="56">
        <v>185187</v>
      </c>
      <c r="E23" s="4">
        <v>257</v>
      </c>
      <c r="F23" s="4">
        <v>148</v>
      </c>
      <c r="G23" s="4">
        <v>648</v>
      </c>
      <c r="H23" s="4">
        <v>287</v>
      </c>
      <c r="I23" s="4">
        <v>154</v>
      </c>
      <c r="J23" s="4">
        <v>15</v>
      </c>
      <c r="K23" s="4">
        <v>54</v>
      </c>
      <c r="L23" s="52"/>
      <c r="M23" s="50"/>
      <c r="N23" s="40" t="s">
        <v>178</v>
      </c>
      <c r="O23" s="33">
        <f>ROUND(3500*Q15+10000*Q16+25000*Q17+7500*Q19+25000*Q20+Q18*100000,0)</f>
        <v>2676</v>
      </c>
      <c r="P23" s="39">
        <f>ROUND(4*O23,)</f>
        <v>10704</v>
      </c>
      <c r="Q23" s="31"/>
    </row>
    <row r="24" spans="1:20" ht="15.95" customHeight="1">
      <c r="A24" s="47" t="s">
        <v>106</v>
      </c>
      <c r="C24" s="52">
        <v>23788</v>
      </c>
      <c r="D24" s="51">
        <v>83908</v>
      </c>
      <c r="E24" s="4">
        <v>364</v>
      </c>
      <c r="F24" s="4">
        <v>362</v>
      </c>
      <c r="G24" s="4">
        <v>628</v>
      </c>
      <c r="H24" s="4">
        <v>528</v>
      </c>
      <c r="I24" s="4">
        <v>271</v>
      </c>
      <c r="J24" s="4">
        <v>5</v>
      </c>
      <c r="K24" s="4">
        <v>61</v>
      </c>
      <c r="L24" s="52"/>
      <c r="M24" s="55" t="s">
        <v>151</v>
      </c>
      <c r="N24" s="40" t="s">
        <v>112</v>
      </c>
      <c r="O24" s="29">
        <f>ROUND(125*Q1+100*Q$6+250*Q$7,0)</f>
        <v>14</v>
      </c>
      <c r="P24" s="29">
        <f>O24*4</f>
        <v>56</v>
      </c>
    </row>
    <row r="25" spans="1:20" ht="15.95" customHeight="1">
      <c r="A25" s="47" t="s">
        <v>107</v>
      </c>
      <c r="C25" s="52">
        <v>20421</v>
      </c>
      <c r="D25" s="56">
        <v>114586</v>
      </c>
      <c r="E25" s="4">
        <v>119</v>
      </c>
      <c r="F25" s="4">
        <v>394</v>
      </c>
      <c r="G25" s="4">
        <v>547</v>
      </c>
      <c r="H25" s="4">
        <v>194</v>
      </c>
      <c r="I25" s="4">
        <v>552</v>
      </c>
      <c r="J25" s="4">
        <v>5</v>
      </c>
      <c r="K25" s="4">
        <v>308</v>
      </c>
      <c r="L25" s="52"/>
      <c r="M25" s="37"/>
      <c r="N25" s="40" t="s">
        <v>108</v>
      </c>
      <c r="O25" s="42">
        <f>ROUND(125*Q2+100*Q$6+250*Q$7,0)</f>
        <v>22</v>
      </c>
      <c r="P25" s="42">
        <f t="shared" ref="P25:P29" si="5">O25*4</f>
        <v>88</v>
      </c>
      <c r="Q25" s="49">
        <f>AVERAGE(P$25:P$28)</f>
        <v>87</v>
      </c>
    </row>
    <row r="26" spans="1:20" ht="15.95" customHeight="1">
      <c r="A26" s="38"/>
      <c r="C26" s="46"/>
      <c r="N26" s="40" t="s">
        <v>109</v>
      </c>
      <c r="O26" s="42">
        <f>ROUND(125*Q3+100*Q$6+250*Q$7,0)</f>
        <v>23</v>
      </c>
      <c r="P26" s="42">
        <f t="shared" si="5"/>
        <v>92</v>
      </c>
      <c r="Q26" s="49">
        <f t="shared" ref="Q26:Q28" si="6">AVERAGE(P$25:P$28)</f>
        <v>87</v>
      </c>
    </row>
    <row r="27" spans="1:20" ht="15.95" customHeight="1">
      <c r="A27" s="38"/>
      <c r="C27" s="46"/>
      <c r="D27" s="56" t="s">
        <v>144</v>
      </c>
      <c r="E27" s="4" t="s">
        <v>112</v>
      </c>
      <c r="F27" s="4" t="s">
        <v>108</v>
      </c>
      <c r="G27" s="4" t="s">
        <v>109</v>
      </c>
      <c r="H27" s="4" t="s">
        <v>110</v>
      </c>
      <c r="I27" s="4" t="s">
        <v>111</v>
      </c>
      <c r="J27" s="4" t="s">
        <v>145</v>
      </c>
      <c r="K27" s="4" t="s">
        <v>179</v>
      </c>
      <c r="N27" s="40" t="s">
        <v>110</v>
      </c>
      <c r="O27" s="42">
        <f>ROUND(125*Q4+100*Q$6+250*Q$7,0)</f>
        <v>22</v>
      </c>
      <c r="P27" s="42">
        <f t="shared" si="5"/>
        <v>88</v>
      </c>
      <c r="Q27" s="49">
        <f t="shared" si="6"/>
        <v>87</v>
      </c>
    </row>
    <row r="28" spans="1:20" ht="15.95" customHeight="1">
      <c r="A28" s="38"/>
      <c r="C28" s="46"/>
      <c r="N28" s="40" t="s">
        <v>111</v>
      </c>
      <c r="O28" s="42">
        <f>ROUND(125*Q5+100*Q$6+250*Q$7,0)</f>
        <v>20</v>
      </c>
      <c r="P28" s="42">
        <f t="shared" si="5"/>
        <v>80</v>
      </c>
      <c r="Q28" s="49">
        <f t="shared" si="6"/>
        <v>87</v>
      </c>
    </row>
    <row r="29" spans="1:20" ht="15.95" customHeight="1">
      <c r="A29" s="38"/>
      <c r="C29" s="4">
        <f>SUM(C1:C25)</f>
        <v>548427</v>
      </c>
      <c r="D29" s="56">
        <f>SUM(D1:D25)</f>
        <v>2756905</v>
      </c>
      <c r="E29" s="4">
        <f>SUM(E1:E25)</f>
        <v>9162</v>
      </c>
      <c r="F29" s="4">
        <f t="shared" ref="F29:K30" si="7">SUM(F1:F25)</f>
        <v>13055</v>
      </c>
      <c r="G29" s="4">
        <f t="shared" si="7"/>
        <v>12289</v>
      </c>
      <c r="H29" s="4">
        <f t="shared" si="7"/>
        <v>11509</v>
      </c>
      <c r="I29" s="4">
        <f t="shared" si="7"/>
        <v>11318</v>
      </c>
      <c r="J29" s="4">
        <f t="shared" si="7"/>
        <v>245</v>
      </c>
      <c r="K29" s="4">
        <f t="shared" si="7"/>
        <v>1574</v>
      </c>
      <c r="N29" s="40" t="s">
        <v>145</v>
      </c>
      <c r="O29" s="42">
        <f>ROUND(5000*Q13+10000*Q14,0)</f>
        <v>192</v>
      </c>
      <c r="P29" s="42">
        <f t="shared" si="5"/>
        <v>768</v>
      </c>
      <c r="Q29" s="4">
        <f>ROUND(P29*25*52,-3)</f>
        <v>998000</v>
      </c>
    </row>
    <row r="30" spans="1:20" ht="15.95" customHeight="1">
      <c r="A30" s="38"/>
      <c r="C30" s="4">
        <f>C29/25</f>
        <v>21937.08</v>
      </c>
      <c r="D30" s="56">
        <f>D29/25</f>
        <v>110276.2</v>
      </c>
      <c r="E30" s="4">
        <f>E29/25</f>
        <v>366.48</v>
      </c>
      <c r="F30" s="4">
        <f t="shared" ref="F30:H30" si="8">F29/25</f>
        <v>522.20000000000005</v>
      </c>
      <c r="G30" s="4">
        <f t="shared" si="8"/>
        <v>491.56</v>
      </c>
      <c r="H30" s="4">
        <f t="shared" si="8"/>
        <v>460.36</v>
      </c>
      <c r="I30" s="4">
        <f>SUM(I2:I26)/25</f>
        <v>434.56</v>
      </c>
      <c r="J30" s="4">
        <f t="shared" si="7"/>
        <v>245</v>
      </c>
      <c r="K30" s="4">
        <f>SUM(K2:K26)/25</f>
        <v>60.8</v>
      </c>
    </row>
    <row r="31" spans="1:20" ht="15.95" customHeight="1">
      <c r="A31" s="38"/>
    </row>
    <row r="32" spans="1:20" ht="15.95" customHeight="1">
      <c r="A32" s="38"/>
    </row>
  </sheetData>
  <sortState ref="A32:N56">
    <sortCondition descending="1" ref="D32:D56"/>
  </sortState>
  <pageMargins left="0.7" right="0.7" top="0.75" bottom="0.75" header="0.3" footer="0.3"/>
  <pageSetup paperSize="9" scale="65" fitToHeight="8" orientation="landscape" verticalDpi="0" r:id="rId1"/>
  <legacyDrawing r:id="rId2"/>
  <controls>
    <control shapeId="4194" r:id="rId3" name="CheckBox1"/>
    <control shapeId="4195" r:id="rId4" name="CheckBox2"/>
    <control shapeId="4196" r:id="rId5" name="CheckBox3"/>
    <control shapeId="4197" r:id="rId6" name="CheckBox4"/>
    <control shapeId="4198" r:id="rId7" name="CheckBox5"/>
    <control shapeId="4199" r:id="rId8" name="CheckBox6"/>
    <control shapeId="4200" r:id="rId9" name="CheckBox7"/>
    <control shapeId="4201" r:id="rId10" name="CheckBox8"/>
    <control shapeId="4202" r:id="rId11" name="CheckBox9"/>
    <control shapeId="4203" r:id="rId12" name="CheckBox10"/>
    <control shapeId="4204" r:id="rId13" name="CheckBox11"/>
    <control shapeId="4205" r:id="rId14" name="CheckBox12"/>
    <control shapeId="4206" r:id="rId15" name="CheckBox13"/>
    <control shapeId="4207" r:id="rId16" name="CheckBox14"/>
    <control shapeId="4208" r:id="rId17" name="CheckBox15"/>
    <control shapeId="4209" r:id="rId18" name="CheckBox16"/>
    <control shapeId="4210" r:id="rId19" name="CheckBox17"/>
    <control shapeId="4211" r:id="rId20" name="CheckBox18"/>
    <control shapeId="4212" r:id="rId21" name="CheckBox19"/>
    <control shapeId="4213" r:id="rId22" name="CheckBox20"/>
    <control shapeId="4214" r:id="rId23" name="CheckBox21"/>
    <control shapeId="4215" r:id="rId24" name="CheckBox22"/>
    <control shapeId="4216" r:id="rId25" name="CheckBox23"/>
    <control shapeId="4217" r:id="rId26" name="CheckBox24"/>
    <control shapeId="4218" r:id="rId27" name="CheckBox25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U124"/>
  <sheetViews>
    <sheetView workbookViewId="0">
      <selection activeCell="I17" sqref="I17"/>
    </sheetView>
  </sheetViews>
  <sheetFormatPr defaultRowHeight="15.95" customHeight="1"/>
  <cols>
    <col min="1" max="1" width="15.42578125" style="10" bestFit="1" customWidth="1"/>
    <col min="2" max="2" width="9.85546875" style="10" bestFit="1" customWidth="1"/>
    <col min="3" max="3" width="15.42578125" style="10" bestFit="1" customWidth="1"/>
    <col min="4" max="4" width="12.5703125" style="10" bestFit="1" customWidth="1"/>
    <col min="5" max="6" width="15.42578125" style="37" bestFit="1" customWidth="1"/>
    <col min="7" max="7" width="12" style="37" bestFit="1" customWidth="1"/>
    <col min="8" max="9" width="11" style="37" bestFit="1" customWidth="1"/>
    <col min="10" max="10" width="12.28515625" style="37" bestFit="1" customWidth="1"/>
    <col min="11" max="11" width="12" style="37" bestFit="1" customWidth="1"/>
    <col min="12" max="12" width="12.85546875" style="37" bestFit="1" customWidth="1"/>
    <col min="13" max="13" width="15" style="37" bestFit="1" customWidth="1"/>
    <col min="14" max="14" width="11.85546875" style="24" bestFit="1" customWidth="1"/>
    <col min="15" max="15" width="14.85546875" style="24" bestFit="1" customWidth="1"/>
    <col min="16" max="21" width="9.140625" style="24"/>
    <col min="22" max="16384" width="9.140625" style="10"/>
  </cols>
  <sheetData>
    <row r="1" spans="1:16" ht="15.95" customHeight="1">
      <c r="A1" s="16" t="s">
        <v>46</v>
      </c>
      <c r="B1" s="4">
        <v>340650</v>
      </c>
      <c r="C1" s="4">
        <v>412520</v>
      </c>
      <c r="D1" s="4">
        <f t="shared" ref="D1:D38" si="0">C1-B1</f>
        <v>71870</v>
      </c>
      <c r="F1" s="37" t="s">
        <v>117</v>
      </c>
      <c r="G1" s="37" t="s">
        <v>118</v>
      </c>
      <c r="H1" s="37" t="s">
        <v>119</v>
      </c>
      <c r="I1" s="37" t="s">
        <v>127</v>
      </c>
      <c r="J1" s="37" t="s">
        <v>120</v>
      </c>
      <c r="K1" s="37" t="s">
        <v>128</v>
      </c>
      <c r="L1" s="37" t="s">
        <v>123</v>
      </c>
      <c r="M1" s="37" t="s">
        <v>121</v>
      </c>
    </row>
    <row r="2" spans="1:16" ht="15.95" customHeight="1">
      <c r="A2" s="16" t="s">
        <v>80</v>
      </c>
      <c r="B2" s="4">
        <v>346250</v>
      </c>
      <c r="C2" s="4">
        <v>420900</v>
      </c>
      <c r="D2" s="4">
        <f t="shared" si="0"/>
        <v>74650</v>
      </c>
    </row>
    <row r="3" spans="1:16" ht="15.95" customHeight="1">
      <c r="A3" s="16" t="s">
        <v>45</v>
      </c>
      <c r="B3" s="4">
        <v>344350</v>
      </c>
      <c r="C3" s="4">
        <v>435480</v>
      </c>
      <c r="D3" s="4">
        <f t="shared" si="0"/>
        <v>91130</v>
      </c>
      <c r="F3" s="37" t="s">
        <v>132</v>
      </c>
      <c r="G3" s="37" t="s">
        <v>5</v>
      </c>
      <c r="H3" s="37" t="s">
        <v>130</v>
      </c>
      <c r="I3" s="37" t="s">
        <v>5</v>
      </c>
      <c r="J3" s="37" t="s">
        <v>131</v>
      </c>
      <c r="K3" s="37" t="s">
        <v>5</v>
      </c>
      <c r="L3" s="37" t="s">
        <v>131</v>
      </c>
      <c r="M3" s="37" t="s">
        <v>132</v>
      </c>
      <c r="N3" s="3"/>
      <c r="O3" s="3"/>
      <c r="P3" s="35"/>
    </row>
    <row r="4" spans="1:16" ht="15.95" customHeight="1">
      <c r="A4" s="16" t="s">
        <v>54</v>
      </c>
      <c r="B4" s="15">
        <v>339675</v>
      </c>
      <c r="C4" s="4">
        <v>440610</v>
      </c>
      <c r="D4" s="4">
        <f t="shared" si="0"/>
        <v>100935</v>
      </c>
      <c r="G4" s="37" t="s">
        <v>131</v>
      </c>
      <c r="H4" s="37" t="s">
        <v>131</v>
      </c>
      <c r="I4" s="37" t="s">
        <v>130</v>
      </c>
      <c r="J4" s="37" t="s">
        <v>132</v>
      </c>
      <c r="K4" s="37" t="s">
        <v>130</v>
      </c>
      <c r="L4" s="37" t="s">
        <v>132</v>
      </c>
      <c r="M4" s="37" t="s">
        <v>103</v>
      </c>
      <c r="N4" s="3"/>
      <c r="O4" s="3"/>
      <c r="P4" s="36"/>
    </row>
    <row r="5" spans="1:16" ht="15.95" customHeight="1">
      <c r="A5" s="1" t="s">
        <v>140</v>
      </c>
      <c r="B5" s="4">
        <v>351625</v>
      </c>
      <c r="C5" s="4">
        <v>319837</v>
      </c>
      <c r="D5" s="4">
        <f t="shared" si="0"/>
        <v>-31788</v>
      </c>
      <c r="I5" s="37" t="s">
        <v>131</v>
      </c>
      <c r="J5" s="37" t="s">
        <v>115</v>
      </c>
      <c r="K5" s="37" t="s">
        <v>131</v>
      </c>
      <c r="L5" s="37" t="s">
        <v>115</v>
      </c>
      <c r="M5" s="37" t="s">
        <v>115</v>
      </c>
      <c r="N5" s="36"/>
      <c r="O5" s="36"/>
      <c r="P5" s="36"/>
    </row>
    <row r="6" spans="1:16" ht="15.95" customHeight="1">
      <c r="A6" s="6" t="s">
        <v>90</v>
      </c>
      <c r="B6" s="4">
        <v>355325</v>
      </c>
      <c r="C6" s="4">
        <v>333195</v>
      </c>
      <c r="D6" s="4">
        <f t="shared" si="0"/>
        <v>-22130</v>
      </c>
      <c r="J6" s="37" t="s">
        <v>133</v>
      </c>
      <c r="K6" s="37" t="s">
        <v>132</v>
      </c>
      <c r="M6" s="37" t="s">
        <v>133</v>
      </c>
      <c r="N6" s="36"/>
      <c r="O6" s="36"/>
      <c r="P6" s="36"/>
    </row>
    <row r="7" spans="1:16" ht="15.95" customHeight="1">
      <c r="A7" s="1" t="s">
        <v>62</v>
      </c>
      <c r="B7" s="4">
        <v>349475</v>
      </c>
      <c r="C7" s="4">
        <v>327580</v>
      </c>
      <c r="D7" s="4">
        <f t="shared" si="0"/>
        <v>-21895</v>
      </c>
      <c r="K7" s="37" t="s">
        <v>115</v>
      </c>
      <c r="N7" s="36"/>
      <c r="O7" s="36"/>
      <c r="P7" s="36"/>
    </row>
    <row r="8" spans="1:16" ht="15.95" customHeight="1">
      <c r="A8" s="1" t="s">
        <v>47</v>
      </c>
      <c r="B8" s="4">
        <v>353175</v>
      </c>
      <c r="C8" s="4">
        <v>338107</v>
      </c>
      <c r="D8" s="4">
        <f t="shared" si="0"/>
        <v>-15068</v>
      </c>
      <c r="N8" s="36"/>
      <c r="O8" s="35"/>
      <c r="P8" s="35"/>
    </row>
    <row r="9" spans="1:16" ht="15.95" customHeight="1">
      <c r="A9" s="1" t="s">
        <v>155</v>
      </c>
      <c r="B9" s="25">
        <v>344725</v>
      </c>
      <c r="C9" s="4">
        <v>367225</v>
      </c>
      <c r="D9" s="4">
        <f t="shared" si="0"/>
        <v>22500</v>
      </c>
      <c r="N9" s="36"/>
      <c r="O9" s="36"/>
      <c r="P9" s="36"/>
    </row>
    <row r="10" spans="1:16" ht="15.95" customHeight="1">
      <c r="A10" s="20" t="s">
        <v>89</v>
      </c>
      <c r="B10" s="4">
        <v>350650</v>
      </c>
      <c r="C10" s="4">
        <v>453780</v>
      </c>
      <c r="D10" s="4">
        <f t="shared" si="0"/>
        <v>103130</v>
      </c>
      <c r="F10" s="37" t="s">
        <v>116</v>
      </c>
      <c r="G10" s="37" t="s">
        <v>124</v>
      </c>
      <c r="H10" s="37" t="s">
        <v>126</v>
      </c>
      <c r="I10" s="37" t="s">
        <v>122</v>
      </c>
      <c r="J10" s="37" t="s">
        <v>125</v>
      </c>
      <c r="N10" s="36"/>
      <c r="O10" s="36"/>
      <c r="P10" s="36"/>
    </row>
    <row r="11" spans="1:16" ht="15.95" customHeight="1">
      <c r="A11" s="11" t="s">
        <v>153</v>
      </c>
      <c r="B11" s="4">
        <v>344900</v>
      </c>
      <c r="C11" s="4">
        <v>332910</v>
      </c>
      <c r="D11" s="4">
        <f t="shared" si="0"/>
        <v>-11990</v>
      </c>
    </row>
    <row r="12" spans="1:16" ht="15.95" customHeight="1">
      <c r="A12" s="12" t="s">
        <v>37</v>
      </c>
      <c r="B12" s="4">
        <v>341200</v>
      </c>
      <c r="C12" s="4">
        <v>336720</v>
      </c>
      <c r="D12" s="4">
        <f t="shared" si="0"/>
        <v>-4480</v>
      </c>
      <c r="F12" s="37" t="s">
        <v>5</v>
      </c>
      <c r="G12" s="37" t="s">
        <v>130</v>
      </c>
      <c r="H12" s="37" t="s">
        <v>132</v>
      </c>
      <c r="I12" s="37" t="s">
        <v>130</v>
      </c>
      <c r="J12" s="37" t="s">
        <v>103</v>
      </c>
    </row>
    <row r="13" spans="1:16" ht="15.95" customHeight="1">
      <c r="A13" s="12" t="s">
        <v>154</v>
      </c>
      <c r="B13" s="25">
        <v>346800</v>
      </c>
      <c r="C13" s="4">
        <v>366120</v>
      </c>
      <c r="D13" s="4">
        <f t="shared" si="0"/>
        <v>19320</v>
      </c>
      <c r="F13" s="37" t="s">
        <v>130</v>
      </c>
      <c r="G13" s="37" t="s">
        <v>131</v>
      </c>
      <c r="H13" s="37" t="s">
        <v>115</v>
      </c>
      <c r="I13" s="37" t="s">
        <v>131</v>
      </c>
      <c r="J13" s="37" t="s">
        <v>133</v>
      </c>
    </row>
    <row r="14" spans="1:16" ht="15.95" customHeight="1">
      <c r="A14" s="12" t="s">
        <v>156</v>
      </c>
      <c r="B14" s="4">
        <v>334300</v>
      </c>
      <c r="C14" s="4">
        <v>363510</v>
      </c>
      <c r="D14" s="4">
        <f t="shared" si="0"/>
        <v>29210</v>
      </c>
      <c r="F14" s="37" t="s">
        <v>131</v>
      </c>
      <c r="H14" s="37" t="s">
        <v>133</v>
      </c>
      <c r="I14" s="37" t="s">
        <v>133</v>
      </c>
      <c r="M14" s="37" t="s">
        <v>181</v>
      </c>
      <c r="O14" s="27"/>
      <c r="P14" s="27"/>
    </row>
    <row r="15" spans="1:16" ht="15.95" customHeight="1">
      <c r="A15" s="12" t="s">
        <v>157</v>
      </c>
      <c r="B15" s="4">
        <v>337675</v>
      </c>
      <c r="C15" s="4">
        <v>410610</v>
      </c>
      <c r="D15" s="4">
        <f t="shared" si="0"/>
        <v>72935</v>
      </c>
      <c r="F15" s="37" t="s">
        <v>132</v>
      </c>
      <c r="M15" s="37" t="s">
        <v>180</v>
      </c>
    </row>
    <row r="16" spans="1:16" ht="15.95" customHeight="1">
      <c r="A16" s="12" t="s">
        <v>158</v>
      </c>
      <c r="B16" s="4">
        <v>339050</v>
      </c>
      <c r="C16" s="4">
        <v>412335</v>
      </c>
      <c r="D16" s="4">
        <f t="shared" si="0"/>
        <v>73285</v>
      </c>
    </row>
    <row r="17" spans="1:16" ht="15.95" customHeight="1">
      <c r="A17" s="12" t="s">
        <v>64</v>
      </c>
      <c r="B17" s="4">
        <v>340225</v>
      </c>
      <c r="C17" s="4">
        <v>426270</v>
      </c>
      <c r="D17" s="4">
        <f t="shared" si="0"/>
        <v>86045</v>
      </c>
    </row>
    <row r="18" spans="1:16" ht="15.95" customHeight="1">
      <c r="A18" s="12" t="s">
        <v>137</v>
      </c>
      <c r="B18" s="15">
        <v>335675</v>
      </c>
      <c r="C18" s="4">
        <v>425675</v>
      </c>
      <c r="D18" s="4">
        <f t="shared" si="0"/>
        <v>90000</v>
      </c>
      <c r="O18" s="27"/>
      <c r="P18" s="27"/>
    </row>
    <row r="19" spans="1:16" ht="15.95" customHeight="1">
      <c r="A19" s="12" t="s">
        <v>75</v>
      </c>
      <c r="B19" s="4">
        <v>342750</v>
      </c>
      <c r="C19" s="4">
        <v>447300</v>
      </c>
      <c r="D19" s="4">
        <f t="shared" si="0"/>
        <v>104550</v>
      </c>
      <c r="O19" s="27"/>
      <c r="P19" s="27"/>
    </row>
    <row r="20" spans="1:16" ht="15.95" customHeight="1">
      <c r="A20" s="19" t="s">
        <v>91</v>
      </c>
      <c r="B20" s="4">
        <v>339100</v>
      </c>
      <c r="C20" s="4">
        <v>412920</v>
      </c>
      <c r="D20" s="4">
        <f t="shared" si="0"/>
        <v>73820</v>
      </c>
      <c r="O20" s="27"/>
      <c r="P20" s="27"/>
    </row>
    <row r="21" spans="1:16" ht="15.95" customHeight="1">
      <c r="A21" s="18" t="s">
        <v>73</v>
      </c>
      <c r="B21" s="4">
        <v>335575</v>
      </c>
      <c r="C21" s="4">
        <v>414517</v>
      </c>
      <c r="D21" s="4">
        <f t="shared" si="0"/>
        <v>78942</v>
      </c>
      <c r="O21" s="27"/>
      <c r="P21" s="27"/>
    </row>
    <row r="22" spans="1:16" ht="15.95" customHeight="1">
      <c r="A22" s="18" t="s">
        <v>35</v>
      </c>
      <c r="B22" s="4">
        <v>338125</v>
      </c>
      <c r="C22" s="4">
        <v>443125</v>
      </c>
      <c r="D22" s="4">
        <f t="shared" si="0"/>
        <v>105000</v>
      </c>
      <c r="O22" s="27"/>
      <c r="P22" s="27"/>
    </row>
    <row r="23" spans="1:16" ht="15.95" customHeight="1">
      <c r="A23" s="18" t="s">
        <v>113</v>
      </c>
      <c r="B23" s="15">
        <v>333575</v>
      </c>
      <c r="C23" s="4">
        <v>445290</v>
      </c>
      <c r="D23" s="4">
        <f t="shared" si="0"/>
        <v>111715</v>
      </c>
      <c r="O23" s="27"/>
      <c r="P23" s="27"/>
    </row>
    <row r="24" spans="1:16" ht="15.95" customHeight="1">
      <c r="A24" s="18" t="s">
        <v>74</v>
      </c>
      <c r="B24" s="4">
        <v>344300</v>
      </c>
      <c r="C24" s="4">
        <v>466730</v>
      </c>
      <c r="D24" s="4">
        <f t="shared" si="0"/>
        <v>122430</v>
      </c>
    </row>
    <row r="25" spans="1:16" ht="15.95" customHeight="1">
      <c r="A25" s="18" t="s">
        <v>28</v>
      </c>
      <c r="B25" s="4">
        <v>341075</v>
      </c>
      <c r="C25" s="4">
        <v>472860</v>
      </c>
      <c r="D25" s="4">
        <f t="shared" si="0"/>
        <v>131785</v>
      </c>
    </row>
    <row r="26" spans="1:16" ht="15.95" customHeight="1">
      <c r="A26" s="19" t="s">
        <v>135</v>
      </c>
      <c r="B26" s="4">
        <v>333150</v>
      </c>
      <c r="C26" s="4">
        <v>478520</v>
      </c>
      <c r="D26" s="4">
        <f t="shared" si="0"/>
        <v>145370</v>
      </c>
    </row>
    <row r="27" spans="1:16" ht="15.95" customHeight="1">
      <c r="A27" s="21" t="s">
        <v>49</v>
      </c>
      <c r="B27" s="4">
        <v>349450</v>
      </c>
      <c r="C27" s="4">
        <v>458340</v>
      </c>
      <c r="D27" s="4">
        <f t="shared" si="0"/>
        <v>108890</v>
      </c>
    </row>
    <row r="28" spans="1:16" ht="15.95" customHeight="1">
      <c r="A28" s="21" t="s">
        <v>63</v>
      </c>
      <c r="B28" s="4">
        <v>346325</v>
      </c>
      <c r="C28" s="4">
        <v>477060</v>
      </c>
      <c r="D28" s="4">
        <f t="shared" si="0"/>
        <v>130735</v>
      </c>
    </row>
    <row r="29" spans="1:16" ht="15.95" customHeight="1">
      <c r="A29" s="22" t="s">
        <v>38</v>
      </c>
      <c r="B29" s="4">
        <v>354300</v>
      </c>
      <c r="C29" s="4">
        <v>434160</v>
      </c>
      <c r="D29" s="4">
        <f t="shared" si="0"/>
        <v>79860</v>
      </c>
    </row>
    <row r="30" spans="1:16" ht="15.95" customHeight="1">
      <c r="A30" s="22" t="s">
        <v>66</v>
      </c>
      <c r="B30" s="4">
        <v>343150</v>
      </c>
      <c r="C30" s="4">
        <v>426965</v>
      </c>
      <c r="D30" s="4">
        <f t="shared" si="0"/>
        <v>83815</v>
      </c>
    </row>
    <row r="31" spans="1:16" ht="15.95" customHeight="1">
      <c r="A31" s="22" t="s">
        <v>81</v>
      </c>
      <c r="B31" s="4">
        <v>345575</v>
      </c>
      <c r="C31" s="4">
        <v>453690</v>
      </c>
      <c r="D31" s="4">
        <f t="shared" si="0"/>
        <v>108115</v>
      </c>
    </row>
    <row r="32" spans="1:16" ht="15.95" customHeight="1">
      <c r="A32" s="22" t="s">
        <v>55</v>
      </c>
      <c r="B32" s="4">
        <v>349100</v>
      </c>
      <c r="C32" s="4">
        <v>471690</v>
      </c>
      <c r="D32" s="4">
        <f t="shared" si="0"/>
        <v>122590</v>
      </c>
    </row>
    <row r="33" spans="1:4" ht="15.95" customHeight="1">
      <c r="A33" s="22" t="s">
        <v>139</v>
      </c>
      <c r="B33" s="15">
        <v>343575</v>
      </c>
      <c r="C33" s="4">
        <v>474860</v>
      </c>
      <c r="D33" s="4">
        <f t="shared" si="0"/>
        <v>131285</v>
      </c>
    </row>
    <row r="34" spans="1:4" ht="15.95" customHeight="1">
      <c r="A34" s="23" t="s">
        <v>138</v>
      </c>
      <c r="B34" s="4">
        <v>347500</v>
      </c>
      <c r="C34" s="4">
        <v>448250</v>
      </c>
      <c r="D34" s="4">
        <f t="shared" si="0"/>
        <v>100750</v>
      </c>
    </row>
    <row r="35" spans="1:4" ht="15.95" customHeight="1">
      <c r="A35" s="17" t="s">
        <v>82</v>
      </c>
      <c r="B35" s="4">
        <v>349925</v>
      </c>
      <c r="C35" s="4">
        <v>472917</v>
      </c>
      <c r="D35" s="4">
        <f t="shared" si="0"/>
        <v>122992</v>
      </c>
    </row>
    <row r="36" spans="1:4" ht="15.95" customHeight="1">
      <c r="A36" s="17" t="s">
        <v>95</v>
      </c>
      <c r="B36" s="15">
        <v>358650</v>
      </c>
      <c r="C36" s="15">
        <v>483650</v>
      </c>
      <c r="D36" s="4">
        <f t="shared" si="0"/>
        <v>125000</v>
      </c>
    </row>
    <row r="37" spans="1:4" ht="15.95" customHeight="1">
      <c r="A37" s="17" t="s">
        <v>27</v>
      </c>
      <c r="B37" s="4">
        <v>346550</v>
      </c>
      <c r="C37" s="4">
        <v>483000</v>
      </c>
      <c r="D37" s="4">
        <f t="shared" si="0"/>
        <v>136450</v>
      </c>
    </row>
    <row r="38" spans="1:4" ht="15.95" customHeight="1">
      <c r="A38" s="17" t="s">
        <v>48</v>
      </c>
      <c r="B38" s="4">
        <v>355525</v>
      </c>
      <c r="C38" s="4">
        <v>499972</v>
      </c>
      <c r="D38" s="4">
        <f t="shared" si="0"/>
        <v>144447</v>
      </c>
    </row>
    <row r="39" spans="1:4" ht="15.95" customHeight="1">
      <c r="A39" s="26"/>
      <c r="B39" s="26"/>
      <c r="C39" s="26"/>
      <c r="D39" s="26"/>
    </row>
    <row r="40" spans="1:4" ht="15.95" customHeight="1">
      <c r="A40" s="26"/>
      <c r="B40" s="26"/>
      <c r="C40" s="26"/>
      <c r="D40" s="26"/>
    </row>
    <row r="41" spans="1:4" ht="15.95" customHeight="1">
      <c r="A41" s="26"/>
      <c r="B41" s="26"/>
      <c r="C41" s="26"/>
      <c r="D41" s="26"/>
    </row>
    <row r="42" spans="1:4" ht="15.95" customHeight="1">
      <c r="A42" s="26"/>
      <c r="B42" s="26"/>
      <c r="C42" s="26"/>
      <c r="D42" s="26"/>
    </row>
    <row r="43" spans="1:4" ht="15.95" customHeight="1">
      <c r="A43" s="26"/>
      <c r="B43" s="26"/>
      <c r="C43" s="26"/>
      <c r="D43" s="26"/>
    </row>
    <row r="44" spans="1:4" ht="15.95" customHeight="1">
      <c r="A44" s="26"/>
      <c r="B44" s="26"/>
      <c r="C44" s="26"/>
      <c r="D44" s="26"/>
    </row>
    <row r="45" spans="1:4" ht="15.95" customHeight="1">
      <c r="A45" s="26"/>
      <c r="B45" s="26"/>
      <c r="C45" s="26"/>
      <c r="D45" s="26"/>
    </row>
    <row r="46" spans="1:4" ht="15.95" customHeight="1">
      <c r="A46" s="26"/>
      <c r="B46" s="26"/>
      <c r="C46" s="26"/>
      <c r="D46" s="26"/>
    </row>
    <row r="47" spans="1:4" ht="15.95" customHeight="1">
      <c r="A47" s="26"/>
      <c r="B47" s="26"/>
      <c r="C47" s="26"/>
      <c r="D47" s="26"/>
    </row>
    <row r="48" spans="1:4" ht="15.95" customHeight="1">
      <c r="A48" s="26"/>
      <c r="B48" s="26"/>
      <c r="C48" s="26"/>
      <c r="D48" s="26"/>
    </row>
    <row r="49" spans="1:4" ht="15.95" customHeight="1">
      <c r="A49" s="26"/>
      <c r="B49" s="26"/>
      <c r="C49" s="26"/>
      <c r="D49" s="26"/>
    </row>
    <row r="50" spans="1:4" ht="15.95" customHeight="1">
      <c r="A50" s="26"/>
      <c r="B50" s="26"/>
      <c r="C50" s="26"/>
      <c r="D50" s="26"/>
    </row>
    <row r="51" spans="1:4" ht="15.95" customHeight="1">
      <c r="A51" s="26"/>
      <c r="B51" s="26"/>
      <c r="C51" s="26"/>
      <c r="D51" s="26"/>
    </row>
    <row r="52" spans="1:4" ht="15.95" customHeight="1">
      <c r="A52" s="26"/>
      <c r="B52" s="26"/>
      <c r="C52" s="26"/>
      <c r="D52" s="26"/>
    </row>
    <row r="53" spans="1:4" ht="15.95" customHeight="1">
      <c r="A53" s="26"/>
      <c r="B53" s="26"/>
      <c r="C53" s="26"/>
      <c r="D53" s="26"/>
    </row>
    <row r="54" spans="1:4" ht="15.95" customHeight="1">
      <c r="A54" s="26"/>
      <c r="B54" s="26"/>
      <c r="C54" s="26"/>
      <c r="D54" s="26"/>
    </row>
    <row r="55" spans="1:4" ht="15.95" customHeight="1">
      <c r="A55" s="26"/>
      <c r="B55" s="26"/>
      <c r="C55" s="26"/>
      <c r="D55" s="26"/>
    </row>
    <row r="56" spans="1:4" ht="15.95" customHeight="1">
      <c r="A56" s="26"/>
      <c r="B56" s="26"/>
      <c r="C56" s="26"/>
      <c r="D56" s="26"/>
    </row>
    <row r="57" spans="1:4" ht="15.95" customHeight="1">
      <c r="A57" s="26"/>
      <c r="B57" s="26"/>
      <c r="C57" s="26"/>
      <c r="D57" s="26"/>
    </row>
    <row r="58" spans="1:4" ht="15.95" customHeight="1">
      <c r="A58" s="26"/>
      <c r="B58" s="26"/>
      <c r="C58" s="26"/>
      <c r="D58" s="26"/>
    </row>
    <row r="59" spans="1:4" ht="15.95" customHeight="1">
      <c r="A59" s="26"/>
      <c r="B59" s="26"/>
      <c r="C59" s="26"/>
      <c r="D59" s="26"/>
    </row>
    <row r="60" spans="1:4" ht="15.95" customHeight="1">
      <c r="A60" s="26"/>
      <c r="B60" s="26"/>
      <c r="C60" s="26"/>
      <c r="D60" s="26"/>
    </row>
    <row r="61" spans="1:4" ht="15.95" customHeight="1">
      <c r="A61" s="26"/>
      <c r="B61" s="26"/>
      <c r="C61" s="26"/>
      <c r="D61" s="26"/>
    </row>
    <row r="62" spans="1:4" ht="15.95" customHeight="1">
      <c r="A62" s="26"/>
      <c r="B62" s="26"/>
      <c r="C62" s="26"/>
      <c r="D62" s="26"/>
    </row>
    <row r="63" spans="1:4" ht="15.95" customHeight="1">
      <c r="A63" s="26"/>
      <c r="B63" s="26"/>
      <c r="C63" s="26"/>
      <c r="D63" s="26"/>
    </row>
    <row r="64" spans="1:4" ht="15.95" customHeight="1">
      <c r="A64" s="26"/>
      <c r="B64" s="26"/>
      <c r="C64" s="26"/>
      <c r="D64" s="26"/>
    </row>
    <row r="65" spans="1:4" ht="15.95" customHeight="1">
      <c r="A65" s="26"/>
      <c r="B65" s="26"/>
      <c r="C65" s="26"/>
      <c r="D65" s="26"/>
    </row>
    <row r="66" spans="1:4" ht="15.95" customHeight="1">
      <c r="A66" s="26"/>
      <c r="B66" s="26"/>
      <c r="C66" s="26"/>
      <c r="D66" s="26"/>
    </row>
    <row r="67" spans="1:4" ht="15.95" customHeight="1">
      <c r="A67" s="26"/>
      <c r="B67" s="26"/>
      <c r="C67" s="26"/>
      <c r="D67" s="26"/>
    </row>
    <row r="68" spans="1:4" ht="15.95" customHeight="1">
      <c r="A68" s="26"/>
      <c r="B68" s="26"/>
      <c r="C68" s="26"/>
      <c r="D68" s="26"/>
    </row>
    <row r="69" spans="1:4" ht="15.95" customHeight="1">
      <c r="A69" s="26"/>
      <c r="B69" s="26"/>
      <c r="C69" s="26"/>
      <c r="D69" s="26"/>
    </row>
    <row r="70" spans="1:4" ht="15.95" customHeight="1">
      <c r="A70" s="26"/>
      <c r="B70" s="26"/>
      <c r="C70" s="26"/>
      <c r="D70" s="26"/>
    </row>
    <row r="71" spans="1:4" ht="15.95" customHeight="1">
      <c r="A71" s="26"/>
      <c r="B71" s="26"/>
      <c r="C71" s="26"/>
      <c r="D71" s="26"/>
    </row>
    <row r="72" spans="1:4" ht="15.95" customHeight="1">
      <c r="A72" s="26"/>
      <c r="B72" s="26"/>
      <c r="C72" s="26"/>
      <c r="D72" s="26"/>
    </row>
    <row r="73" spans="1:4" ht="15.95" customHeight="1">
      <c r="A73" s="26"/>
      <c r="B73" s="26"/>
      <c r="C73" s="26"/>
      <c r="D73" s="26"/>
    </row>
    <row r="74" spans="1:4" ht="15.95" customHeight="1">
      <c r="A74" s="26"/>
      <c r="B74" s="26"/>
      <c r="C74" s="26"/>
      <c r="D74" s="26"/>
    </row>
    <row r="75" spans="1:4" ht="15.95" customHeight="1">
      <c r="A75" s="26"/>
      <c r="B75" s="26"/>
      <c r="C75" s="26"/>
      <c r="D75" s="26"/>
    </row>
    <row r="76" spans="1:4" ht="15.95" customHeight="1">
      <c r="A76" s="26"/>
      <c r="B76" s="26"/>
      <c r="C76" s="26"/>
      <c r="D76" s="26"/>
    </row>
    <row r="77" spans="1:4" ht="15.95" customHeight="1">
      <c r="A77" s="26"/>
      <c r="B77" s="26"/>
      <c r="C77" s="26"/>
      <c r="D77" s="26"/>
    </row>
    <row r="78" spans="1:4" ht="15.95" customHeight="1">
      <c r="A78" s="26"/>
      <c r="B78" s="26"/>
      <c r="C78" s="26"/>
      <c r="D78" s="26"/>
    </row>
    <row r="79" spans="1:4" ht="15.95" customHeight="1">
      <c r="A79" s="26"/>
      <c r="B79" s="26"/>
      <c r="C79" s="26"/>
      <c r="D79" s="26"/>
    </row>
    <row r="80" spans="1:4" ht="15.95" customHeight="1">
      <c r="A80" s="26"/>
      <c r="B80" s="26"/>
      <c r="C80" s="26"/>
      <c r="D80" s="26"/>
    </row>
    <row r="81" spans="1:10" ht="15.95" customHeight="1">
      <c r="A81" s="26"/>
      <c r="B81" s="26"/>
      <c r="C81" s="26"/>
      <c r="D81" s="26"/>
    </row>
    <row r="82" spans="1:10" ht="15.95" customHeight="1">
      <c r="A82" s="26"/>
      <c r="B82" s="26"/>
      <c r="C82" s="26"/>
      <c r="D82" s="26"/>
    </row>
    <row r="83" spans="1:10" ht="15.95" customHeight="1">
      <c r="A83" s="26"/>
      <c r="B83" s="26" t="s">
        <v>104</v>
      </c>
      <c r="C83" s="26" t="s">
        <v>146</v>
      </c>
      <c r="D83" s="26" t="s">
        <v>147</v>
      </c>
      <c r="E83" s="37" t="s">
        <v>148</v>
      </c>
      <c r="F83" s="37" t="s">
        <v>149</v>
      </c>
    </row>
    <row r="84" spans="1:10" ht="15.95" customHeight="1">
      <c r="A84" s="26"/>
      <c r="B84" s="26"/>
      <c r="C84" s="26"/>
      <c r="D84" s="26"/>
    </row>
    <row r="85" spans="1:10" ht="15.95" customHeight="1">
      <c r="A85" s="26" t="s">
        <v>50</v>
      </c>
      <c r="B85" s="26" t="s">
        <v>5</v>
      </c>
      <c r="C85" s="26" t="s">
        <v>127</v>
      </c>
      <c r="D85" s="26" t="s">
        <v>141</v>
      </c>
      <c r="E85" s="37" t="s">
        <v>30</v>
      </c>
      <c r="F85" s="37" t="s">
        <v>131</v>
      </c>
      <c r="G85" s="37" t="s">
        <v>118</v>
      </c>
      <c r="H85" s="37" t="s">
        <v>141</v>
      </c>
      <c r="I85" s="37" t="s">
        <v>57</v>
      </c>
      <c r="J85" s="37" t="s">
        <v>103</v>
      </c>
    </row>
    <row r="86" spans="1:10" ht="15.95" customHeight="1">
      <c r="A86" s="26" t="s">
        <v>21</v>
      </c>
      <c r="B86" s="26" t="s">
        <v>5</v>
      </c>
      <c r="C86" s="26" t="s">
        <v>128</v>
      </c>
      <c r="D86" s="26" t="s">
        <v>141</v>
      </c>
      <c r="E86" s="37" t="s">
        <v>84</v>
      </c>
      <c r="F86" s="37" t="s">
        <v>131</v>
      </c>
      <c r="G86" s="37" t="s">
        <v>121</v>
      </c>
      <c r="H86" s="37" t="s">
        <v>141</v>
      </c>
      <c r="I86" s="37" t="s">
        <v>31</v>
      </c>
      <c r="J86" s="37" t="s">
        <v>103</v>
      </c>
    </row>
    <row r="87" spans="1:10" ht="15.95" customHeight="1">
      <c r="A87" s="26" t="s">
        <v>39</v>
      </c>
      <c r="B87" s="26" t="s">
        <v>5</v>
      </c>
      <c r="C87" s="26" t="s">
        <v>117</v>
      </c>
      <c r="D87" s="26" t="s">
        <v>141</v>
      </c>
      <c r="E87" s="37" t="s">
        <v>67</v>
      </c>
      <c r="F87" s="37" t="s">
        <v>131</v>
      </c>
      <c r="G87" s="37" t="s">
        <v>128</v>
      </c>
      <c r="H87" s="37" t="s">
        <v>141</v>
      </c>
      <c r="I87" s="37" t="s">
        <v>97</v>
      </c>
      <c r="J87" s="37" t="s">
        <v>103</v>
      </c>
    </row>
    <row r="88" spans="1:10" ht="15.95" customHeight="1">
      <c r="A88" s="26" t="s">
        <v>88</v>
      </c>
      <c r="B88" s="26" t="s">
        <v>5</v>
      </c>
      <c r="C88" s="26" t="s">
        <v>117</v>
      </c>
      <c r="D88" s="26" t="s">
        <v>129</v>
      </c>
      <c r="E88" s="37" t="s">
        <v>93</v>
      </c>
      <c r="F88" s="37" t="s">
        <v>131</v>
      </c>
      <c r="G88" s="37" t="s">
        <v>123</v>
      </c>
      <c r="H88" s="37" t="s">
        <v>141</v>
      </c>
      <c r="I88" s="37" t="s">
        <v>40</v>
      </c>
      <c r="J88" s="37" t="s">
        <v>103</v>
      </c>
    </row>
    <row r="89" spans="1:10" ht="15.95" customHeight="1">
      <c r="A89" s="26" t="s">
        <v>61</v>
      </c>
      <c r="B89" s="26" t="s">
        <v>5</v>
      </c>
      <c r="C89" s="26" t="s">
        <v>116</v>
      </c>
      <c r="D89" s="26" t="s">
        <v>129</v>
      </c>
      <c r="E89" s="37" t="s">
        <v>85</v>
      </c>
      <c r="F89" s="37" t="s">
        <v>131</v>
      </c>
      <c r="G89" s="37" t="s">
        <v>120</v>
      </c>
      <c r="H89" s="37" t="s">
        <v>141</v>
      </c>
      <c r="I89" s="37" t="s">
        <v>59</v>
      </c>
      <c r="J89" s="37" t="s">
        <v>103</v>
      </c>
    </row>
    <row r="90" spans="1:10" ht="15.95" customHeight="1">
      <c r="A90" s="26" t="s">
        <v>46</v>
      </c>
      <c r="B90" s="26" t="s">
        <v>5</v>
      </c>
      <c r="C90" s="26" t="s">
        <v>128</v>
      </c>
      <c r="D90" s="26" t="s">
        <v>136</v>
      </c>
      <c r="E90" s="37" t="s">
        <v>68</v>
      </c>
      <c r="F90" s="37" t="s">
        <v>131</v>
      </c>
      <c r="G90" s="37" t="s">
        <v>122</v>
      </c>
      <c r="H90" s="37" t="s">
        <v>141</v>
      </c>
      <c r="I90" s="37" t="s">
        <v>32</v>
      </c>
      <c r="J90" s="37" t="s">
        <v>103</v>
      </c>
    </row>
    <row r="91" spans="1:10" ht="15.95" customHeight="1">
      <c r="A91" s="26" t="s">
        <v>80</v>
      </c>
      <c r="B91" s="26" t="s">
        <v>5</v>
      </c>
      <c r="C91" s="26" t="s">
        <v>118</v>
      </c>
      <c r="D91" s="26" t="s">
        <v>136</v>
      </c>
      <c r="E91" s="37" t="s">
        <v>71</v>
      </c>
      <c r="F91" s="37" t="s">
        <v>131</v>
      </c>
      <c r="G91" s="37" t="s">
        <v>122</v>
      </c>
      <c r="H91" s="37" t="s">
        <v>129</v>
      </c>
      <c r="I91" s="37" t="s">
        <v>53</v>
      </c>
      <c r="J91" s="37" t="s">
        <v>103</v>
      </c>
    </row>
    <row r="92" spans="1:10" ht="15.95" customHeight="1">
      <c r="A92" s="26" t="s">
        <v>45</v>
      </c>
      <c r="B92" s="26" t="s">
        <v>5</v>
      </c>
      <c r="C92" s="26" t="s">
        <v>127</v>
      </c>
      <c r="D92" s="26" t="s">
        <v>136</v>
      </c>
      <c r="E92" s="37" t="s">
        <v>87</v>
      </c>
      <c r="F92" s="37" t="s">
        <v>131</v>
      </c>
      <c r="G92" s="37" t="s">
        <v>125</v>
      </c>
      <c r="H92" s="37" t="s">
        <v>129</v>
      </c>
      <c r="I92" s="37" t="s">
        <v>70</v>
      </c>
      <c r="J92" s="37" t="s">
        <v>103</v>
      </c>
    </row>
    <row r="93" spans="1:10" ht="15.95" customHeight="1">
      <c r="A93" s="26" t="s">
        <v>54</v>
      </c>
      <c r="B93" s="26" t="s">
        <v>5</v>
      </c>
      <c r="C93" s="26" t="s">
        <v>116</v>
      </c>
      <c r="D93" s="26" t="s">
        <v>136</v>
      </c>
      <c r="E93" s="37" t="s">
        <v>44</v>
      </c>
      <c r="F93" s="37" t="s">
        <v>131</v>
      </c>
      <c r="G93" s="37" t="s">
        <v>119</v>
      </c>
      <c r="H93" s="37" t="s">
        <v>129</v>
      </c>
      <c r="I93" s="37" t="s">
        <v>60</v>
      </c>
      <c r="J93" s="37" t="s">
        <v>103</v>
      </c>
    </row>
    <row r="94" spans="1:10" ht="15.95" customHeight="1">
      <c r="A94" s="26"/>
      <c r="B94" s="26"/>
      <c r="C94" s="26"/>
      <c r="D94" s="26"/>
      <c r="E94" s="37" t="s">
        <v>34</v>
      </c>
      <c r="F94" s="37" t="s">
        <v>131</v>
      </c>
      <c r="G94" s="37" t="s">
        <v>120</v>
      </c>
      <c r="H94" s="37" t="s">
        <v>129</v>
      </c>
      <c r="I94" s="37" t="s">
        <v>49</v>
      </c>
      <c r="J94" s="37" t="s">
        <v>103</v>
      </c>
    </row>
    <row r="95" spans="1:10" ht="15.95" customHeight="1">
      <c r="A95" s="26"/>
      <c r="B95" s="26"/>
      <c r="C95" s="26"/>
      <c r="D95" s="26"/>
      <c r="E95" s="37" t="s">
        <v>94</v>
      </c>
      <c r="F95" s="37" t="s">
        <v>131</v>
      </c>
      <c r="G95" s="37" t="s">
        <v>123</v>
      </c>
      <c r="H95" s="37" t="s">
        <v>129</v>
      </c>
      <c r="I95" s="37" t="s">
        <v>63</v>
      </c>
      <c r="J95" s="37" t="s">
        <v>103</v>
      </c>
    </row>
    <row r="96" spans="1:10" ht="15.95" customHeight="1">
      <c r="A96" s="26" t="s">
        <v>56</v>
      </c>
      <c r="B96" s="26" t="s">
        <v>130</v>
      </c>
      <c r="C96" s="26" t="s">
        <v>119</v>
      </c>
      <c r="D96" s="26" t="s">
        <v>141</v>
      </c>
      <c r="E96" s="37" t="s">
        <v>102</v>
      </c>
      <c r="F96" s="37" t="s">
        <v>131</v>
      </c>
      <c r="G96" s="37" t="s">
        <v>126</v>
      </c>
      <c r="H96" s="37" t="s">
        <v>129</v>
      </c>
    </row>
    <row r="97" spans="1:10" ht="15.95" customHeight="1">
      <c r="A97" s="26" t="s">
        <v>76</v>
      </c>
      <c r="B97" s="26" t="s">
        <v>130</v>
      </c>
      <c r="C97" s="26" t="s">
        <v>118</v>
      </c>
      <c r="D97" s="26" t="s">
        <v>141</v>
      </c>
      <c r="E97" s="37" t="s">
        <v>26</v>
      </c>
      <c r="F97" s="37" t="s">
        <v>131</v>
      </c>
      <c r="G97" s="37" t="s">
        <v>128</v>
      </c>
      <c r="H97" s="37" t="s">
        <v>129</v>
      </c>
      <c r="I97" s="37" t="s">
        <v>99</v>
      </c>
      <c r="J97" s="37" t="s">
        <v>132</v>
      </c>
    </row>
    <row r="98" spans="1:10" ht="15.95" customHeight="1">
      <c r="A98" s="26" t="s">
        <v>96</v>
      </c>
      <c r="B98" s="26" t="s">
        <v>130</v>
      </c>
      <c r="C98" s="26" t="s">
        <v>126</v>
      </c>
      <c r="D98" s="26" t="s">
        <v>141</v>
      </c>
      <c r="E98" s="37" t="s">
        <v>92</v>
      </c>
      <c r="F98" s="37" t="s">
        <v>131</v>
      </c>
      <c r="G98" s="37" t="s">
        <v>127</v>
      </c>
      <c r="H98" s="37" t="s">
        <v>136</v>
      </c>
      <c r="I98" s="37" t="s">
        <v>98</v>
      </c>
      <c r="J98" s="37" t="s">
        <v>132</v>
      </c>
    </row>
    <row r="99" spans="1:10" ht="15.95" customHeight="1">
      <c r="A99" s="26" t="s">
        <v>51</v>
      </c>
      <c r="B99" s="26" t="s">
        <v>130</v>
      </c>
      <c r="C99" s="26" t="s">
        <v>124</v>
      </c>
      <c r="D99" s="26" t="s">
        <v>141</v>
      </c>
      <c r="E99" s="37" t="s">
        <v>37</v>
      </c>
      <c r="F99" s="37" t="s">
        <v>131</v>
      </c>
      <c r="G99" s="37" t="s">
        <v>128</v>
      </c>
      <c r="H99" s="37" t="s">
        <v>136</v>
      </c>
      <c r="I99" s="37" t="s">
        <v>41</v>
      </c>
      <c r="J99" s="37" t="s">
        <v>132</v>
      </c>
    </row>
    <row r="100" spans="1:10" ht="15.95" customHeight="1">
      <c r="A100" s="26" t="s">
        <v>22</v>
      </c>
      <c r="B100" s="26" t="s">
        <v>130</v>
      </c>
      <c r="C100" s="26" t="s">
        <v>128</v>
      </c>
      <c r="D100" s="26" t="s">
        <v>141</v>
      </c>
      <c r="E100" s="37" t="s">
        <v>114</v>
      </c>
      <c r="F100" s="37" t="s">
        <v>131</v>
      </c>
      <c r="G100" s="37" t="s">
        <v>118</v>
      </c>
      <c r="H100" s="37" t="s">
        <v>136</v>
      </c>
      <c r="I100" s="37" t="s">
        <v>58</v>
      </c>
      <c r="J100" s="37" t="s">
        <v>132</v>
      </c>
    </row>
    <row r="101" spans="1:10" ht="15.95" customHeight="1">
      <c r="A101" s="26" t="s">
        <v>77</v>
      </c>
      <c r="B101" s="26" t="s">
        <v>130</v>
      </c>
      <c r="C101" s="26" t="s">
        <v>116</v>
      </c>
      <c r="D101" s="26" t="s">
        <v>141</v>
      </c>
      <c r="E101" s="37" t="s">
        <v>36</v>
      </c>
      <c r="F101" s="37" t="s">
        <v>131</v>
      </c>
      <c r="G101" s="37" t="s">
        <v>122</v>
      </c>
      <c r="H101" s="37" t="s">
        <v>136</v>
      </c>
      <c r="I101" s="37" t="s">
        <v>52</v>
      </c>
      <c r="J101" s="37" t="s">
        <v>132</v>
      </c>
    </row>
    <row r="102" spans="1:10" ht="15.95" customHeight="1">
      <c r="A102" s="26" t="s">
        <v>23</v>
      </c>
      <c r="B102" s="26" t="s">
        <v>130</v>
      </c>
      <c r="C102" s="26" t="s">
        <v>120</v>
      </c>
      <c r="D102" s="26" t="s">
        <v>141</v>
      </c>
      <c r="E102" s="37" t="s">
        <v>64</v>
      </c>
      <c r="F102" s="37" t="s">
        <v>131</v>
      </c>
      <c r="G102" s="37" t="s">
        <v>116</v>
      </c>
      <c r="H102" s="37" t="s">
        <v>136</v>
      </c>
      <c r="I102" s="37" t="s">
        <v>78</v>
      </c>
      <c r="J102" s="37" t="s">
        <v>132</v>
      </c>
    </row>
    <row r="103" spans="1:10" ht="15.95" customHeight="1">
      <c r="A103" s="26" t="s">
        <v>42</v>
      </c>
      <c r="B103" s="26" t="s">
        <v>130</v>
      </c>
      <c r="C103" s="26" t="s">
        <v>118</v>
      </c>
      <c r="D103" s="26" t="s">
        <v>129</v>
      </c>
      <c r="E103" s="37" t="s">
        <v>137</v>
      </c>
      <c r="F103" s="37" t="s">
        <v>131</v>
      </c>
      <c r="G103" s="37" t="s">
        <v>123</v>
      </c>
      <c r="H103" s="37" t="s">
        <v>136</v>
      </c>
      <c r="I103" s="37" t="s">
        <v>33</v>
      </c>
      <c r="J103" s="37" t="s">
        <v>132</v>
      </c>
    </row>
    <row r="104" spans="1:10" ht="15.95" customHeight="1">
      <c r="A104" s="26" t="s">
        <v>69</v>
      </c>
      <c r="B104" s="26" t="s">
        <v>130</v>
      </c>
      <c r="C104" s="26" t="s">
        <v>127</v>
      </c>
      <c r="D104" s="26" t="s">
        <v>129</v>
      </c>
      <c r="E104" s="37" t="s">
        <v>142</v>
      </c>
      <c r="F104" s="37" t="s">
        <v>131</v>
      </c>
      <c r="G104" s="37" t="s">
        <v>120</v>
      </c>
      <c r="H104" s="37" t="s">
        <v>136</v>
      </c>
      <c r="I104" s="37" t="s">
        <v>86</v>
      </c>
      <c r="J104" s="37" t="s">
        <v>132</v>
      </c>
    </row>
    <row r="105" spans="1:10" ht="15.95" customHeight="1">
      <c r="A105" s="26" t="s">
        <v>24</v>
      </c>
      <c r="B105" s="26" t="s">
        <v>130</v>
      </c>
      <c r="C105" s="26" t="s">
        <v>116</v>
      </c>
      <c r="D105" s="26" t="s">
        <v>129</v>
      </c>
      <c r="E105" s="37" t="s">
        <v>29</v>
      </c>
      <c r="F105" s="37" t="s">
        <v>131</v>
      </c>
      <c r="G105" s="37" t="s">
        <v>119</v>
      </c>
      <c r="H105" s="37" t="s">
        <v>136</v>
      </c>
      <c r="I105" s="37" t="s">
        <v>43</v>
      </c>
      <c r="J105" s="37" t="s">
        <v>132</v>
      </c>
    </row>
    <row r="106" spans="1:10" ht="15.95" customHeight="1">
      <c r="A106" s="26" t="s">
        <v>79</v>
      </c>
      <c r="B106" s="26" t="s">
        <v>130</v>
      </c>
      <c r="C106" s="26" t="s">
        <v>119</v>
      </c>
      <c r="D106" s="26" t="s">
        <v>129</v>
      </c>
      <c r="E106" s="37" t="s">
        <v>75</v>
      </c>
      <c r="F106" s="37" t="s">
        <v>131</v>
      </c>
      <c r="G106" s="37" t="s">
        <v>124</v>
      </c>
      <c r="H106" s="37" t="s">
        <v>136</v>
      </c>
      <c r="I106" s="37" t="s">
        <v>25</v>
      </c>
      <c r="J106" s="37" t="s">
        <v>132</v>
      </c>
    </row>
    <row r="107" spans="1:10" ht="15.95" customHeight="1">
      <c r="A107" s="26" t="s">
        <v>83</v>
      </c>
      <c r="B107" s="26" t="s">
        <v>130</v>
      </c>
      <c r="C107" s="26" t="s">
        <v>128</v>
      </c>
      <c r="D107" s="26" t="s">
        <v>136</v>
      </c>
      <c r="I107" s="37" t="s">
        <v>100</v>
      </c>
      <c r="J107" s="37" t="s">
        <v>132</v>
      </c>
    </row>
    <row r="108" spans="1:10" ht="15.95" customHeight="1">
      <c r="A108" s="26" t="s">
        <v>90</v>
      </c>
      <c r="B108" s="26" t="s">
        <v>130</v>
      </c>
      <c r="C108" s="26" t="s">
        <v>127</v>
      </c>
      <c r="D108" s="26" t="s">
        <v>136</v>
      </c>
      <c r="I108" s="37" t="s">
        <v>101</v>
      </c>
      <c r="J108" s="37" t="s">
        <v>132</v>
      </c>
    </row>
    <row r="109" spans="1:10" ht="15.95" customHeight="1">
      <c r="A109" s="26" t="s">
        <v>62</v>
      </c>
      <c r="B109" s="26" t="s">
        <v>130</v>
      </c>
      <c r="C109" s="26" t="s">
        <v>119</v>
      </c>
      <c r="D109" s="26" t="s">
        <v>136</v>
      </c>
      <c r="I109" s="37" t="s">
        <v>72</v>
      </c>
      <c r="J109" s="37" t="s">
        <v>132</v>
      </c>
    </row>
    <row r="110" spans="1:10" ht="15.95" customHeight="1">
      <c r="A110" s="26" t="s">
        <v>47</v>
      </c>
      <c r="B110" s="26" t="s">
        <v>130</v>
      </c>
      <c r="C110" s="26" t="s">
        <v>124</v>
      </c>
      <c r="D110" s="26" t="s">
        <v>136</v>
      </c>
      <c r="I110" s="37" t="s">
        <v>91</v>
      </c>
      <c r="J110" s="37" t="s">
        <v>132</v>
      </c>
    </row>
    <row r="111" spans="1:10" ht="15.95" customHeight="1">
      <c r="A111" s="26" t="s">
        <v>65</v>
      </c>
      <c r="B111" s="26" t="s">
        <v>130</v>
      </c>
      <c r="C111" s="26" t="s">
        <v>122</v>
      </c>
      <c r="D111" s="26" t="s">
        <v>136</v>
      </c>
      <c r="I111" s="37" t="s">
        <v>73</v>
      </c>
      <c r="J111" s="37" t="s">
        <v>132</v>
      </c>
    </row>
    <row r="112" spans="1:10" ht="15.95" customHeight="1">
      <c r="A112" s="26" t="s">
        <v>89</v>
      </c>
      <c r="B112" s="26" t="s">
        <v>130</v>
      </c>
      <c r="C112" s="26" t="s">
        <v>116</v>
      </c>
      <c r="D112" s="26" t="s">
        <v>136</v>
      </c>
      <c r="I112" s="37" t="s">
        <v>135</v>
      </c>
      <c r="J112" s="37" t="s">
        <v>132</v>
      </c>
    </row>
    <row r="113" spans="9:10" ht="15.95" customHeight="1">
      <c r="I113" s="37" t="s">
        <v>28</v>
      </c>
      <c r="J113" s="37" t="s">
        <v>132</v>
      </c>
    </row>
    <row r="114" spans="9:10" ht="15.95" customHeight="1">
      <c r="J114" s="37" t="s">
        <v>132</v>
      </c>
    </row>
    <row r="115" spans="9:10" ht="15.95" customHeight="1">
      <c r="J115" s="37" t="s">
        <v>132</v>
      </c>
    </row>
    <row r="116" spans="9:10" ht="15.95" customHeight="1">
      <c r="J116" s="37" t="s">
        <v>132</v>
      </c>
    </row>
    <row r="120" spans="9:10" ht="15.95" customHeight="1">
      <c r="J120" s="37" t="s">
        <v>80</v>
      </c>
    </row>
    <row r="121" spans="9:10" ht="15.95" customHeight="1">
      <c r="J121" s="37" t="s">
        <v>62</v>
      </c>
    </row>
    <row r="122" spans="9:10" ht="15.95" customHeight="1">
      <c r="J122" s="37" t="s">
        <v>153</v>
      </c>
    </row>
    <row r="123" spans="9:10" ht="15.95" customHeight="1">
      <c r="J123" s="37" t="s">
        <v>66</v>
      </c>
    </row>
    <row r="124" spans="9:10" ht="15.95" customHeight="1">
      <c r="J124" s="37" t="s">
        <v>38</v>
      </c>
    </row>
  </sheetData>
  <sortState ref="F10:I15">
    <sortCondition ref="I123:I128"/>
  </sortState>
  <pageMargins left="0.7" right="0.7" top="0.75" bottom="0.75" header="0.3" footer="0.3"/>
  <pageSetup paperSize="9" scale="54" fitToHeight="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K3:U23"/>
  <sheetViews>
    <sheetView workbookViewId="0">
      <selection activeCell="M7" sqref="M7:R22"/>
    </sheetView>
  </sheetViews>
  <sheetFormatPr defaultRowHeight="15.95" customHeight="1"/>
  <cols>
    <col min="11" max="11" width="9.140625" style="28"/>
    <col min="12" max="12" width="18.28515625" style="24" bestFit="1" customWidth="1"/>
    <col min="13" max="13" width="5.7109375" style="24" customWidth="1"/>
    <col min="14" max="14" width="9.140625" style="24"/>
    <col min="15" max="15" width="6" style="24" customWidth="1"/>
    <col min="16" max="16" width="10" style="24" bestFit="1" customWidth="1"/>
    <col min="17" max="17" width="9.140625" style="24"/>
    <col min="18" max="18" width="17.28515625" style="24" bestFit="1" customWidth="1"/>
    <col min="19" max="19" width="11.28515625" style="24" customWidth="1"/>
    <col min="20" max="21" width="9.140625" style="24"/>
  </cols>
  <sheetData>
    <row r="3" spans="15:16" ht="15.95" customHeight="1">
      <c r="O3" s="27"/>
      <c r="P3" s="27"/>
    </row>
    <row r="8" spans="15:16" ht="15.95" customHeight="1">
      <c r="O8" s="27"/>
      <c r="P8" s="27"/>
    </row>
    <row r="14" spans="15:16" ht="15.95" customHeight="1">
      <c r="O14" s="27"/>
      <c r="P14" s="27"/>
    </row>
    <row r="18" spans="15:16" ht="15.95" customHeight="1">
      <c r="O18" s="27"/>
      <c r="P18" s="27"/>
    </row>
    <row r="19" spans="15:16" ht="15.95" customHeight="1">
      <c r="O19" s="27"/>
      <c r="P19" s="27"/>
    </row>
    <row r="20" spans="15:16" ht="15.95" customHeight="1">
      <c r="O20" s="27"/>
      <c r="P20" s="27"/>
    </row>
    <row r="21" spans="15:16" ht="15.95" customHeight="1">
      <c r="O21" s="27"/>
      <c r="P21" s="27"/>
    </row>
    <row r="22" spans="15:16" ht="15.95" customHeight="1">
      <c r="O22" s="27"/>
      <c r="P22" s="27"/>
    </row>
    <row r="23" spans="15:16" ht="15.95" customHeight="1">
      <c r="O23" s="27"/>
      <c r="P23" s="27"/>
    </row>
  </sheetData>
  <pageMargins left="0.7" right="0.7" top="0.75" bottom="0.75" header="0.3" footer="0.3"/>
  <pageSetup paperSize="9" scale="74" fitToHeight="8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U33"/>
  <sheetViews>
    <sheetView topLeftCell="A13" workbookViewId="0">
      <selection activeCell="G29" sqref="G29"/>
    </sheetView>
  </sheetViews>
  <sheetFormatPr defaultRowHeight="15.95" customHeight="1"/>
  <cols>
    <col min="1" max="1" width="28.28515625" style="5" bestFit="1" customWidth="1"/>
    <col min="2" max="2" width="4.5703125" bestFit="1" customWidth="1"/>
    <col min="11" max="11" width="9.140625" style="28"/>
    <col min="12" max="21" width="9.140625" style="24"/>
  </cols>
  <sheetData>
    <row r="1" spans="1:16" ht="15.95" customHeight="1">
      <c r="A1" s="5">
        <v>42734</v>
      </c>
      <c r="B1" s="2">
        <v>0.5</v>
      </c>
      <c r="D1">
        <v>84772</v>
      </c>
      <c r="E1">
        <v>488</v>
      </c>
      <c r="F1">
        <v>807</v>
      </c>
      <c r="G1">
        <v>579</v>
      </c>
      <c r="H1">
        <v>419</v>
      </c>
      <c r="I1">
        <v>454</v>
      </c>
      <c r="K1" s="28">
        <v>54</v>
      </c>
    </row>
    <row r="2" spans="1:16" ht="15.95" customHeight="1">
      <c r="A2" s="5">
        <v>42736</v>
      </c>
      <c r="B2" s="2">
        <v>0</v>
      </c>
      <c r="D2">
        <v>134956</v>
      </c>
      <c r="E2">
        <v>19</v>
      </c>
      <c r="F2">
        <v>420</v>
      </c>
      <c r="G2">
        <v>180</v>
      </c>
      <c r="H2">
        <v>229</v>
      </c>
      <c r="I2">
        <v>181</v>
      </c>
      <c r="K2" s="28">
        <v>155</v>
      </c>
    </row>
    <row r="3" spans="1:16" ht="15.95" customHeight="1">
      <c r="A3" s="5">
        <v>42756</v>
      </c>
      <c r="B3" s="2">
        <v>0.5</v>
      </c>
      <c r="D3">
        <v>50620</v>
      </c>
      <c r="E3">
        <v>526</v>
      </c>
      <c r="F3">
        <v>948</v>
      </c>
      <c r="G3">
        <v>836</v>
      </c>
      <c r="H3">
        <v>736</v>
      </c>
      <c r="I3">
        <v>834</v>
      </c>
      <c r="K3" s="28">
        <v>55</v>
      </c>
      <c r="O3" s="27"/>
      <c r="P3" s="27"/>
    </row>
    <row r="4" spans="1:16" ht="15.95" customHeight="1">
      <c r="A4" s="5">
        <v>42780</v>
      </c>
      <c r="B4" s="2">
        <v>0.5</v>
      </c>
      <c r="D4">
        <v>100639</v>
      </c>
      <c r="E4">
        <v>274</v>
      </c>
      <c r="F4">
        <v>188</v>
      </c>
      <c r="G4">
        <v>694</v>
      </c>
      <c r="H4">
        <v>225</v>
      </c>
      <c r="I4">
        <v>320</v>
      </c>
      <c r="K4" s="28">
        <v>105</v>
      </c>
    </row>
    <row r="5" spans="1:16" ht="15.95" customHeight="1">
      <c r="A5" s="5">
        <v>42792</v>
      </c>
      <c r="B5" s="2">
        <v>0.5</v>
      </c>
      <c r="N5" s="24" t="s">
        <v>159</v>
      </c>
    </row>
    <row r="6" spans="1:16" ht="15.95" customHeight="1">
      <c r="A6" s="5">
        <v>42824</v>
      </c>
      <c r="B6" s="2">
        <v>0.25</v>
      </c>
    </row>
    <row r="7" spans="1:16" ht="15.95" customHeight="1">
      <c r="A7" s="5">
        <v>42837</v>
      </c>
      <c r="B7" s="2">
        <v>0.25</v>
      </c>
    </row>
    <row r="8" spans="1:16" ht="15.95" customHeight="1">
      <c r="A8" s="5">
        <v>42854</v>
      </c>
      <c r="B8" s="2">
        <v>0.3</v>
      </c>
      <c r="O8" s="27"/>
      <c r="P8" s="27"/>
    </row>
    <row r="9" spans="1:16" ht="15.95" customHeight="1">
      <c r="A9" s="5">
        <v>42890</v>
      </c>
      <c r="B9" s="2">
        <v>0.25</v>
      </c>
    </row>
    <row r="10" spans="1:16" ht="15.95" customHeight="1">
      <c r="A10" s="5">
        <v>42925</v>
      </c>
      <c r="B10" s="2">
        <v>0.25</v>
      </c>
      <c r="O10" s="24">
        <v>1997</v>
      </c>
    </row>
    <row r="11" spans="1:16" ht="15.95" customHeight="1">
      <c r="A11" s="5">
        <v>42938</v>
      </c>
      <c r="B11" s="2">
        <v>0.5</v>
      </c>
      <c r="O11" s="24">
        <v>0</v>
      </c>
    </row>
    <row r="12" spans="1:16" ht="15.95" customHeight="1">
      <c r="A12" s="5">
        <v>42953</v>
      </c>
      <c r="B12" s="2">
        <v>0.25</v>
      </c>
      <c r="O12" s="24">
        <v>1</v>
      </c>
    </row>
    <row r="13" spans="1:16" ht="15.95" customHeight="1">
      <c r="A13" s="5">
        <v>42974</v>
      </c>
      <c r="B13" s="2">
        <v>0.25</v>
      </c>
      <c r="O13" s="24">
        <v>2</v>
      </c>
    </row>
    <row r="14" spans="1:16" ht="15.95" customHeight="1">
      <c r="A14" s="43">
        <v>42988</v>
      </c>
      <c r="B14" s="44">
        <v>0.5</v>
      </c>
      <c r="O14" s="27">
        <v>3</v>
      </c>
      <c r="P14" s="27"/>
    </row>
    <row r="15" spans="1:16" ht="15.95" customHeight="1">
      <c r="A15" s="43">
        <v>43042</v>
      </c>
      <c r="B15" s="44">
        <v>0.5</v>
      </c>
      <c r="O15" s="24">
        <v>4</v>
      </c>
    </row>
    <row r="16" spans="1:16" ht="15.95" customHeight="1">
      <c r="A16" s="43">
        <v>43099</v>
      </c>
      <c r="B16" s="44">
        <v>0.5</v>
      </c>
      <c r="O16" s="24">
        <v>5</v>
      </c>
    </row>
    <row r="17" spans="1:16" ht="15.95" customHeight="1">
      <c r="O17" s="24">
        <v>6</v>
      </c>
    </row>
    <row r="18" spans="1:16" ht="15.95" customHeight="1">
      <c r="A18" s="5">
        <v>43101</v>
      </c>
      <c r="B18" s="2">
        <v>0</v>
      </c>
      <c r="O18" s="27">
        <v>7</v>
      </c>
      <c r="P18" s="27"/>
    </row>
    <row r="19" spans="1:16" ht="15.95" customHeight="1">
      <c r="A19" s="5">
        <v>43128</v>
      </c>
      <c r="B19" s="2">
        <v>0.25</v>
      </c>
      <c r="O19" s="27">
        <v>8</v>
      </c>
      <c r="P19" s="27"/>
    </row>
    <row r="20" spans="1:16" ht="15.95" customHeight="1">
      <c r="A20" s="5">
        <v>43145</v>
      </c>
      <c r="B20" s="2">
        <v>0.25</v>
      </c>
      <c r="O20" s="27">
        <v>9</v>
      </c>
      <c r="P20" s="27"/>
    </row>
    <row r="21" spans="1:16" ht="15.95" customHeight="1">
      <c r="A21" s="5">
        <v>43156</v>
      </c>
      <c r="B21" s="2">
        <v>0.5</v>
      </c>
      <c r="O21" s="27"/>
      <c r="P21" s="27"/>
    </row>
    <row r="22" spans="1:16" ht="15.95" customHeight="1">
      <c r="A22" s="5">
        <v>43170</v>
      </c>
      <c r="B22" s="2">
        <v>0.5</v>
      </c>
      <c r="O22" s="27"/>
      <c r="P22" s="27"/>
    </row>
    <row r="23" spans="1:16" ht="15.95" customHeight="1">
      <c r="A23" s="5">
        <v>43184</v>
      </c>
      <c r="B23" s="2">
        <v>0.5</v>
      </c>
      <c r="O23" s="27"/>
      <c r="P23" s="27"/>
    </row>
    <row r="24" spans="1:16" ht="15.95" customHeight="1">
      <c r="A24" s="5">
        <v>43204</v>
      </c>
      <c r="B24" s="2">
        <v>0.5</v>
      </c>
    </row>
    <row r="25" spans="1:16" ht="15.95" customHeight="1">
      <c r="A25" s="5">
        <v>43219</v>
      </c>
      <c r="B25" s="2">
        <v>0.5</v>
      </c>
    </row>
    <row r="26" spans="1:16" ht="15.95" customHeight="1">
      <c r="A26" s="5">
        <v>43240</v>
      </c>
      <c r="B26" s="2">
        <v>0.25</v>
      </c>
    </row>
    <row r="27" spans="1:16" ht="15.95" customHeight="1">
      <c r="A27" s="5">
        <v>43261</v>
      </c>
      <c r="B27" s="2">
        <v>0.5</v>
      </c>
    </row>
    <row r="28" spans="1:16" ht="15.95" customHeight="1">
      <c r="A28" s="5">
        <v>43275</v>
      </c>
      <c r="B28" s="2">
        <v>0.25</v>
      </c>
    </row>
    <row r="29" spans="1:16" ht="15.95" customHeight="1">
      <c r="A29" s="5">
        <v>43289</v>
      </c>
      <c r="B29" s="2">
        <v>0.5</v>
      </c>
    </row>
    <row r="30" spans="1:16" ht="15.95" customHeight="1">
      <c r="A30" s="43">
        <v>43339</v>
      </c>
      <c r="B30" s="44">
        <v>0</v>
      </c>
    </row>
    <row r="31" spans="1:16" ht="15.95" customHeight="1">
      <c r="A31" s="43">
        <v>43353</v>
      </c>
      <c r="B31" s="44">
        <v>0</v>
      </c>
    </row>
    <row r="32" spans="1:16" ht="15.95" customHeight="1">
      <c r="A32" s="43">
        <v>43407</v>
      </c>
      <c r="B32" s="44">
        <v>0</v>
      </c>
    </row>
    <row r="33" spans="1:2" ht="15.95" customHeight="1">
      <c r="A33" s="43">
        <v>43464</v>
      </c>
      <c r="B33" s="44">
        <v>0</v>
      </c>
    </row>
  </sheetData>
  <sortState ref="A1:B32">
    <sortCondition ref="A1:A32"/>
  </sortState>
  <pageMargins left="0.7" right="0.7" top="0.75" bottom="0.75" header="0.3" footer="0.3"/>
  <pageSetup paperSize="9" scale="73" fitToHeight="8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Analysis</vt:lpstr>
      <vt:lpstr>Statisitics</vt:lpstr>
      <vt:lpstr>Kits</vt:lpstr>
      <vt:lpstr>Ranks</vt:lpstr>
      <vt:lpstr>Calendar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2018-05-31T11:11:10Z</cp:lastPrinted>
  <dcterms:created xsi:type="dcterms:W3CDTF">2017-08-27T12:02:05Z</dcterms:created>
  <dcterms:modified xsi:type="dcterms:W3CDTF">2018-12-20T20:39:54Z</dcterms:modified>
</cp:coreProperties>
</file>